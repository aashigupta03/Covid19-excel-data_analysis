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ashi\Downloads\"/>
    </mc:Choice>
  </mc:AlternateContent>
  <xr:revisionPtr revIDLastSave="0" documentId="8_{5E035367-5F6C-42C9-BB58-91D112A0A54E}" xr6:coauthVersionLast="47" xr6:coauthVersionMax="47" xr10:uidLastSave="{00000000-0000-0000-0000-000000000000}"/>
  <bookViews>
    <workbookView xWindow="-110" yWindow="-110" windowWidth="19420" windowHeight="11500" xr2:uid="{4914FCE3-C58E-402B-92F7-666C06701A8D}"/>
  </bookViews>
  <sheets>
    <sheet name="Raw_data" sheetId="3" r:id="rId1"/>
    <sheet name="Covid Data" sheetId="2" r:id="rId2"/>
    <sheet name="Calculations" sheetId="4" r:id="rId3"/>
    <sheet name="Pivot Table" sheetId="6" r:id="rId4"/>
    <sheet name="Dashboard" sheetId="5" r:id="rId5"/>
  </sheets>
  <definedNames>
    <definedName name="ExternalData_1" localSheetId="1" hidden="1">'Covid Data'!$A$1:$O$188</definedName>
    <definedName name="ExternalData_1" localSheetId="0" hidden="1">Raw_data!$A$1:$O$188</definedName>
    <definedName name="Slicer_WHO_Region">#N/A</definedName>
  </definedNames>
  <calcPr calcId="191029"/>
  <pivotCaches>
    <pivotCache cacheId="2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4" l="1"/>
  <c r="B9" i="4"/>
  <c r="B8" i="4"/>
  <c r="B7" i="4"/>
  <c r="B6" i="4"/>
  <c r="B4" i="4"/>
  <c r="B3" i="4"/>
  <c r="B2"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H4" i="5"/>
  <c r="E4" i="5"/>
  <c r="B4" i="5"/>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T52" i="2"/>
  <c r="T97" i="2"/>
  <c r="T58" i="2"/>
  <c r="T146" i="2"/>
  <c r="T144" i="2"/>
  <c r="T174" i="2"/>
  <c r="T21" i="2"/>
  <c r="T51" i="2"/>
  <c r="T72" i="2"/>
  <c r="T64" i="2"/>
  <c r="T57" i="2"/>
  <c r="T159" i="2"/>
  <c r="T50" i="2"/>
  <c r="T18" i="2"/>
  <c r="T172" i="2"/>
  <c r="T34" i="2"/>
  <c r="T36" i="2"/>
  <c r="T178" i="2"/>
  <c r="T129" i="2"/>
  <c r="T173" i="2"/>
  <c r="T33" i="2"/>
  <c r="T80" i="2"/>
  <c r="T150" i="2"/>
  <c r="T3" i="2"/>
  <c r="T169" i="2"/>
  <c r="T78" i="2"/>
  <c r="T142" i="2"/>
  <c r="T162" i="2"/>
  <c r="T160" i="2"/>
  <c r="T117" i="2"/>
  <c r="T167" i="2"/>
  <c r="T67" i="2"/>
  <c r="T22" i="2"/>
  <c r="T98" i="2"/>
  <c r="T145" i="2"/>
  <c r="T9" i="2"/>
  <c r="T27" i="2"/>
  <c r="T15" i="2"/>
  <c r="T161" i="2"/>
  <c r="T108" i="2"/>
  <c r="T86" i="2"/>
  <c r="T69" i="2"/>
  <c r="T70" i="2"/>
  <c r="T96" i="2"/>
  <c r="T115" i="2"/>
  <c r="T143" i="2"/>
  <c r="T71" i="2"/>
  <c r="T76" i="2"/>
  <c r="T95" i="2"/>
  <c r="T184" i="2"/>
  <c r="T38" i="2"/>
  <c r="T30" i="2"/>
  <c r="T26" i="2"/>
  <c r="T73" i="2"/>
  <c r="T110" i="2"/>
  <c r="T166" i="2"/>
  <c r="T122" i="2"/>
  <c r="T118" i="2"/>
  <c r="T74" i="2"/>
  <c r="T179" i="2"/>
  <c r="T88" i="2"/>
  <c r="T19" i="2"/>
  <c r="T91" i="2"/>
  <c r="T164" i="2"/>
  <c r="T139" i="2"/>
  <c r="T20" i="2"/>
  <c r="T54" i="2"/>
  <c r="T102" i="2"/>
  <c r="T186" i="2"/>
  <c r="T182" i="2"/>
  <c r="T46" i="2"/>
  <c r="T92" i="2"/>
  <c r="T124" i="2"/>
  <c r="T158" i="2"/>
  <c r="T89" i="2"/>
  <c r="T187" i="2"/>
  <c r="T49" i="2"/>
  <c r="T101" i="2"/>
  <c r="T126" i="2"/>
  <c r="T4" i="2"/>
  <c r="T25" i="2"/>
  <c r="T11" i="2"/>
  <c r="T23" i="2"/>
  <c r="T59" i="2"/>
  <c r="T39" i="2"/>
  <c r="T16" i="2"/>
  <c r="T149" i="2"/>
  <c r="T56" i="2"/>
  <c r="T137" i="2"/>
  <c r="T28" i="2"/>
  <c r="T66" i="2"/>
  <c r="T87" i="2"/>
  <c r="T37" i="2"/>
  <c r="T55" i="2"/>
  <c r="T183" i="2"/>
  <c r="T135" i="2"/>
  <c r="T103" i="2"/>
  <c r="T155" i="2"/>
  <c r="T138" i="2"/>
  <c r="T112" i="2"/>
  <c r="T175" i="2"/>
  <c r="T123" i="2"/>
  <c r="T93" i="2"/>
  <c r="T83" i="2"/>
  <c r="T104" i="2"/>
  <c r="T85" i="2"/>
  <c r="T106" i="2"/>
  <c r="T116" i="2"/>
  <c r="T151" i="2"/>
  <c r="T94" i="2"/>
  <c r="T163" i="2"/>
  <c r="T7" i="2"/>
  <c r="T61" i="2"/>
  <c r="T170" i="2"/>
  <c r="T165" i="2"/>
  <c r="T111" i="2"/>
  <c r="T63" i="2"/>
  <c r="T130" i="2"/>
  <c r="T127" i="2"/>
  <c r="T65" i="2"/>
  <c r="T42" i="2"/>
  <c r="T132" i="2"/>
  <c r="T105" i="2"/>
  <c r="T140" i="2"/>
  <c r="T48" i="2"/>
  <c r="T81" i="2"/>
  <c r="T84" i="2"/>
  <c r="T32" i="2"/>
  <c r="T12" i="2"/>
  <c r="T40" i="2"/>
  <c r="T176" i="2"/>
  <c r="T100" i="2"/>
  <c r="T8" i="2"/>
  <c r="T29" i="2"/>
  <c r="T47" i="2"/>
  <c r="T44" i="2"/>
  <c r="T24" i="2"/>
  <c r="T45" i="2"/>
  <c r="T5" i="2"/>
  <c r="T125" i="2"/>
  <c r="T185" i="2"/>
  <c r="T180" i="2"/>
  <c r="T177" i="2"/>
  <c r="T152" i="2"/>
  <c r="T148" i="2"/>
  <c r="T14" i="2"/>
  <c r="T82" i="2"/>
  <c r="T60" i="2"/>
  <c r="T171" i="2"/>
  <c r="T128" i="2"/>
  <c r="T43" i="2"/>
  <c r="T120" i="2"/>
  <c r="T121" i="2"/>
  <c r="T109" i="2"/>
  <c r="T6" i="2"/>
  <c r="T75" i="2"/>
  <c r="T119" i="2"/>
  <c r="T13" i="2"/>
  <c r="T113" i="2"/>
  <c r="T77" i="2"/>
  <c r="T133" i="2"/>
  <c r="T31" i="2"/>
  <c r="T53" i="2"/>
  <c r="T153" i="2"/>
  <c r="T156" i="2"/>
  <c r="T90" i="2"/>
  <c r="T154" i="2"/>
  <c r="T107" i="2"/>
  <c r="T181" i="2"/>
  <c r="T147" i="2"/>
  <c r="T168" i="2"/>
  <c r="T134" i="2"/>
  <c r="T17" i="2"/>
  <c r="T2" i="2"/>
  <c r="T141" i="2"/>
  <c r="T35" i="2"/>
  <c r="T41" i="2"/>
  <c r="T10" i="2"/>
  <c r="T136" i="2"/>
  <c r="T62" i="2"/>
  <c r="T68" i="2"/>
  <c r="T157" i="2"/>
  <c r="T79" i="2"/>
  <c r="T188" i="2"/>
  <c r="T131" i="2"/>
  <c r="T99" i="2"/>
  <c r="T114" i="2"/>
  <c r="S52" i="2"/>
  <c r="S97" i="2"/>
  <c r="S58" i="2"/>
  <c r="S146" i="2"/>
  <c r="S144" i="2"/>
  <c r="S174" i="2"/>
  <c r="S21" i="2"/>
  <c r="S51" i="2"/>
  <c r="S72" i="2"/>
  <c r="S64" i="2"/>
  <c r="S57" i="2"/>
  <c r="S159" i="2"/>
  <c r="S50" i="2"/>
  <c r="S18" i="2"/>
  <c r="S172" i="2"/>
  <c r="S34" i="2"/>
  <c r="S36" i="2"/>
  <c r="S178" i="2"/>
  <c r="S129" i="2"/>
  <c r="S173" i="2"/>
  <c r="S33" i="2"/>
  <c r="S80" i="2"/>
  <c r="S150" i="2"/>
  <c r="S3" i="2"/>
  <c r="S169" i="2"/>
  <c r="S78" i="2"/>
  <c r="S142" i="2"/>
  <c r="S162" i="2"/>
  <c r="S160" i="2"/>
  <c r="S117" i="2"/>
  <c r="S167" i="2"/>
  <c r="S67" i="2"/>
  <c r="S22" i="2"/>
  <c r="S98" i="2"/>
  <c r="S145" i="2"/>
  <c r="S9" i="2"/>
  <c r="S27" i="2"/>
  <c r="S15" i="2"/>
  <c r="S161" i="2"/>
  <c r="S108" i="2"/>
  <c r="S86" i="2"/>
  <c r="S69" i="2"/>
  <c r="S70" i="2"/>
  <c r="S96" i="2"/>
  <c r="S115" i="2"/>
  <c r="S143" i="2"/>
  <c r="S71" i="2"/>
  <c r="S76" i="2"/>
  <c r="S95" i="2"/>
  <c r="S184" i="2"/>
  <c r="S38" i="2"/>
  <c r="S30" i="2"/>
  <c r="S26" i="2"/>
  <c r="S73" i="2"/>
  <c r="S110" i="2"/>
  <c r="S166" i="2"/>
  <c r="S122" i="2"/>
  <c r="S118" i="2"/>
  <c r="S74" i="2"/>
  <c r="S179" i="2"/>
  <c r="S88" i="2"/>
  <c r="S19" i="2"/>
  <c r="S91" i="2"/>
  <c r="S164" i="2"/>
  <c r="S139" i="2"/>
  <c r="S20" i="2"/>
  <c r="S54" i="2"/>
  <c r="S102" i="2"/>
  <c r="S186" i="2"/>
  <c r="S182" i="2"/>
  <c r="S46" i="2"/>
  <c r="S92" i="2"/>
  <c r="S124" i="2"/>
  <c r="S158" i="2"/>
  <c r="S89" i="2"/>
  <c r="S187" i="2"/>
  <c r="S49" i="2"/>
  <c r="S101" i="2"/>
  <c r="S126" i="2"/>
  <c r="S4" i="2"/>
  <c r="S25" i="2"/>
  <c r="S11" i="2"/>
  <c r="S23" i="2"/>
  <c r="S59" i="2"/>
  <c r="S39" i="2"/>
  <c r="S16" i="2"/>
  <c r="S149" i="2"/>
  <c r="S56" i="2"/>
  <c r="S137" i="2"/>
  <c r="S28" i="2"/>
  <c r="S66" i="2"/>
  <c r="S87" i="2"/>
  <c r="S37" i="2"/>
  <c r="S55" i="2"/>
  <c r="S183" i="2"/>
  <c r="S135" i="2"/>
  <c r="S103" i="2"/>
  <c r="S155" i="2"/>
  <c r="S138" i="2"/>
  <c r="S112" i="2"/>
  <c r="S175" i="2"/>
  <c r="S123" i="2"/>
  <c r="S93" i="2"/>
  <c r="S83" i="2"/>
  <c r="S104" i="2"/>
  <c r="S85" i="2"/>
  <c r="S106" i="2"/>
  <c r="S116" i="2"/>
  <c r="S151" i="2"/>
  <c r="S94" i="2"/>
  <c r="S163" i="2"/>
  <c r="S7" i="2"/>
  <c r="S61" i="2"/>
  <c r="S170" i="2"/>
  <c r="S165" i="2"/>
  <c r="S111" i="2"/>
  <c r="S63" i="2"/>
  <c r="S130" i="2"/>
  <c r="S127" i="2"/>
  <c r="S65" i="2"/>
  <c r="S42" i="2"/>
  <c r="S132" i="2"/>
  <c r="S105" i="2"/>
  <c r="S140" i="2"/>
  <c r="S48" i="2"/>
  <c r="S81" i="2"/>
  <c r="S84" i="2"/>
  <c r="S32" i="2"/>
  <c r="S12" i="2"/>
  <c r="S40" i="2"/>
  <c r="S176" i="2"/>
  <c r="S100" i="2"/>
  <c r="S8" i="2"/>
  <c r="S29" i="2"/>
  <c r="S47" i="2"/>
  <c r="S44" i="2"/>
  <c r="S24" i="2"/>
  <c r="S45" i="2"/>
  <c r="S5" i="2"/>
  <c r="S125" i="2"/>
  <c r="S185" i="2"/>
  <c r="S180" i="2"/>
  <c r="S177" i="2"/>
  <c r="S152" i="2"/>
  <c r="S148" i="2"/>
  <c r="S14" i="2"/>
  <c r="S82" i="2"/>
  <c r="S60" i="2"/>
  <c r="S171" i="2"/>
  <c r="S128" i="2"/>
  <c r="S43" i="2"/>
  <c r="S120" i="2"/>
  <c r="S121" i="2"/>
  <c r="S109" i="2"/>
  <c r="S6" i="2"/>
  <c r="S75" i="2"/>
  <c r="S119" i="2"/>
  <c r="S13" i="2"/>
  <c r="S113" i="2"/>
  <c r="S77" i="2"/>
  <c r="S133" i="2"/>
  <c r="S31" i="2"/>
  <c r="S53" i="2"/>
  <c r="S153" i="2"/>
  <c r="S156" i="2"/>
  <c r="S90" i="2"/>
  <c r="S154" i="2"/>
  <c r="S107" i="2"/>
  <c r="S181" i="2"/>
  <c r="S147" i="2"/>
  <c r="S168" i="2"/>
  <c r="S134" i="2"/>
  <c r="S17" i="2"/>
  <c r="S2" i="2"/>
  <c r="S141" i="2"/>
  <c r="S35" i="2"/>
  <c r="S41" i="2"/>
  <c r="S10" i="2"/>
  <c r="S136" i="2"/>
  <c r="S62" i="2"/>
  <c r="S68" i="2"/>
  <c r="S157" i="2"/>
  <c r="S79" i="2"/>
  <c r="S188" i="2"/>
  <c r="S131" i="2"/>
  <c r="S99" i="2"/>
  <c r="S114" i="2"/>
  <c r="R52" i="2"/>
  <c r="R97" i="2"/>
  <c r="R58" i="2"/>
  <c r="R146" i="2"/>
  <c r="R144" i="2"/>
  <c r="R174" i="2"/>
  <c r="R21" i="2"/>
  <c r="R51" i="2"/>
  <c r="R72" i="2"/>
  <c r="R64" i="2"/>
  <c r="R57" i="2"/>
  <c r="R159" i="2"/>
  <c r="R50" i="2"/>
  <c r="R18" i="2"/>
  <c r="R172" i="2"/>
  <c r="R34" i="2"/>
  <c r="R36" i="2"/>
  <c r="R178" i="2"/>
  <c r="R129" i="2"/>
  <c r="R173" i="2"/>
  <c r="R33" i="2"/>
  <c r="R80" i="2"/>
  <c r="R150" i="2"/>
  <c r="R3" i="2"/>
  <c r="R169" i="2"/>
  <c r="R78" i="2"/>
  <c r="R142" i="2"/>
  <c r="R162" i="2"/>
  <c r="R160" i="2"/>
  <c r="R117" i="2"/>
  <c r="R167" i="2"/>
  <c r="R67" i="2"/>
  <c r="R22" i="2"/>
  <c r="R98" i="2"/>
  <c r="R145" i="2"/>
  <c r="R9" i="2"/>
  <c r="R27" i="2"/>
  <c r="R15" i="2"/>
  <c r="R161" i="2"/>
  <c r="R108" i="2"/>
  <c r="R86" i="2"/>
  <c r="R69" i="2"/>
  <c r="R70" i="2"/>
  <c r="R96" i="2"/>
  <c r="R115" i="2"/>
  <c r="R143" i="2"/>
  <c r="R71" i="2"/>
  <c r="R76" i="2"/>
  <c r="R95" i="2"/>
  <c r="R184" i="2"/>
  <c r="R38" i="2"/>
  <c r="R30" i="2"/>
  <c r="R26" i="2"/>
  <c r="R73" i="2"/>
  <c r="R110" i="2"/>
  <c r="R166" i="2"/>
  <c r="R122" i="2"/>
  <c r="R118" i="2"/>
  <c r="R74" i="2"/>
  <c r="R179" i="2"/>
  <c r="R88" i="2"/>
  <c r="R19" i="2"/>
  <c r="R91" i="2"/>
  <c r="R164" i="2"/>
  <c r="R139" i="2"/>
  <c r="R20" i="2"/>
  <c r="R54" i="2"/>
  <c r="R102" i="2"/>
  <c r="R186" i="2"/>
  <c r="R182" i="2"/>
  <c r="R46" i="2"/>
  <c r="R92" i="2"/>
  <c r="R124" i="2"/>
  <c r="R158" i="2"/>
  <c r="R89" i="2"/>
  <c r="R187" i="2"/>
  <c r="R49" i="2"/>
  <c r="R101" i="2"/>
  <c r="R126" i="2"/>
  <c r="R4" i="2"/>
  <c r="R25" i="2"/>
  <c r="R11" i="2"/>
  <c r="R23" i="2"/>
  <c r="R59" i="2"/>
  <c r="R39" i="2"/>
  <c r="R16" i="2"/>
  <c r="R149" i="2"/>
  <c r="R56" i="2"/>
  <c r="R137" i="2"/>
  <c r="R28" i="2"/>
  <c r="R66" i="2"/>
  <c r="R87" i="2"/>
  <c r="R37" i="2"/>
  <c r="R55" i="2"/>
  <c r="R183" i="2"/>
  <c r="R135" i="2"/>
  <c r="R103" i="2"/>
  <c r="R155" i="2"/>
  <c r="R138" i="2"/>
  <c r="R112" i="2"/>
  <c r="R175" i="2"/>
  <c r="R123" i="2"/>
  <c r="R93" i="2"/>
  <c r="R83" i="2"/>
  <c r="R104" i="2"/>
  <c r="R85" i="2"/>
  <c r="R106" i="2"/>
  <c r="R116" i="2"/>
  <c r="R151" i="2"/>
  <c r="R94" i="2"/>
  <c r="R163" i="2"/>
  <c r="R7" i="2"/>
  <c r="R61" i="2"/>
  <c r="R170" i="2"/>
  <c r="R165" i="2"/>
  <c r="R111" i="2"/>
  <c r="R63" i="2"/>
  <c r="R130" i="2"/>
  <c r="R127" i="2"/>
  <c r="R65" i="2"/>
  <c r="R42" i="2"/>
  <c r="R132" i="2"/>
  <c r="R105" i="2"/>
  <c r="R140" i="2"/>
  <c r="R48" i="2"/>
  <c r="R81" i="2"/>
  <c r="R84" i="2"/>
  <c r="R32" i="2"/>
  <c r="R12" i="2"/>
  <c r="R40" i="2"/>
  <c r="R176" i="2"/>
  <c r="R100" i="2"/>
  <c r="R8" i="2"/>
  <c r="R29" i="2"/>
  <c r="R47" i="2"/>
  <c r="R44" i="2"/>
  <c r="R24" i="2"/>
  <c r="R45" i="2"/>
  <c r="R5" i="2"/>
  <c r="R125" i="2"/>
  <c r="R185" i="2"/>
  <c r="R180" i="2"/>
  <c r="R177" i="2"/>
  <c r="R152" i="2"/>
  <c r="R148" i="2"/>
  <c r="R14" i="2"/>
  <c r="R82" i="2"/>
  <c r="R60" i="2"/>
  <c r="R171" i="2"/>
  <c r="R128" i="2"/>
  <c r="R43" i="2"/>
  <c r="R120" i="2"/>
  <c r="R121" i="2"/>
  <c r="R109" i="2"/>
  <c r="R6" i="2"/>
  <c r="R75" i="2"/>
  <c r="R119" i="2"/>
  <c r="R13" i="2"/>
  <c r="R113" i="2"/>
  <c r="R77" i="2"/>
  <c r="R133" i="2"/>
  <c r="R31" i="2"/>
  <c r="R53" i="2"/>
  <c r="R153" i="2"/>
  <c r="R156" i="2"/>
  <c r="R90" i="2"/>
  <c r="R154" i="2"/>
  <c r="R107" i="2"/>
  <c r="R181" i="2"/>
  <c r="R147" i="2"/>
  <c r="R168" i="2"/>
  <c r="R134" i="2"/>
  <c r="R17" i="2"/>
  <c r="R2" i="2"/>
  <c r="R141" i="2"/>
  <c r="R35" i="2"/>
  <c r="R41" i="2"/>
  <c r="R10" i="2"/>
  <c r="R136" i="2"/>
  <c r="R62" i="2"/>
  <c r="R68" i="2"/>
  <c r="R157" i="2"/>
  <c r="R79" i="2"/>
  <c r="R188" i="2"/>
  <c r="R131" i="2"/>
  <c r="R99" i="2"/>
  <c r="R114" i="2"/>
  <c r="P52" i="2"/>
  <c r="P97" i="2"/>
  <c r="P58" i="2"/>
  <c r="P146" i="2"/>
  <c r="P144" i="2"/>
  <c r="P174" i="2"/>
  <c r="P21" i="2"/>
  <c r="P51" i="2"/>
  <c r="P72" i="2"/>
  <c r="P64" i="2"/>
  <c r="P57" i="2"/>
  <c r="P159" i="2"/>
  <c r="P50" i="2"/>
  <c r="P18" i="2"/>
  <c r="P172" i="2"/>
  <c r="P34" i="2"/>
  <c r="P36" i="2"/>
  <c r="P178" i="2"/>
  <c r="P129" i="2"/>
  <c r="P173" i="2"/>
  <c r="P33" i="2"/>
  <c r="P80" i="2"/>
  <c r="P150" i="2"/>
  <c r="P3" i="2"/>
  <c r="P169" i="2"/>
  <c r="P78" i="2"/>
  <c r="P142" i="2"/>
  <c r="P162" i="2"/>
  <c r="P160" i="2"/>
  <c r="P117" i="2"/>
  <c r="P167" i="2"/>
  <c r="P67" i="2"/>
  <c r="P22" i="2"/>
  <c r="P98" i="2"/>
  <c r="P145" i="2"/>
  <c r="P9" i="2"/>
  <c r="P27" i="2"/>
  <c r="P15" i="2"/>
  <c r="P161" i="2"/>
  <c r="P108" i="2"/>
  <c r="P86" i="2"/>
  <c r="P69" i="2"/>
  <c r="P70" i="2"/>
  <c r="P96" i="2"/>
  <c r="P115" i="2"/>
  <c r="P143" i="2"/>
  <c r="P71" i="2"/>
  <c r="P76" i="2"/>
  <c r="P95" i="2"/>
  <c r="P184" i="2"/>
  <c r="P38" i="2"/>
  <c r="P30" i="2"/>
  <c r="P26" i="2"/>
  <c r="P73" i="2"/>
  <c r="P110" i="2"/>
  <c r="P166" i="2"/>
  <c r="P122" i="2"/>
  <c r="P118" i="2"/>
  <c r="P74" i="2"/>
  <c r="P179" i="2"/>
  <c r="P88" i="2"/>
  <c r="P19" i="2"/>
  <c r="P91" i="2"/>
  <c r="P164" i="2"/>
  <c r="P139" i="2"/>
  <c r="P20" i="2"/>
  <c r="P54" i="2"/>
  <c r="P102" i="2"/>
  <c r="P186" i="2"/>
  <c r="P182" i="2"/>
  <c r="P46" i="2"/>
  <c r="P92" i="2"/>
  <c r="P124" i="2"/>
  <c r="P158" i="2"/>
  <c r="P89" i="2"/>
  <c r="P187" i="2"/>
  <c r="P49" i="2"/>
  <c r="P101" i="2"/>
  <c r="P126" i="2"/>
  <c r="P4" i="2"/>
  <c r="P25" i="2"/>
  <c r="P11" i="2"/>
  <c r="P23" i="2"/>
  <c r="P59" i="2"/>
  <c r="P39" i="2"/>
  <c r="P16" i="2"/>
  <c r="P149" i="2"/>
  <c r="P56" i="2"/>
  <c r="P137" i="2"/>
  <c r="P28" i="2"/>
  <c r="P66" i="2"/>
  <c r="P87" i="2"/>
  <c r="P37" i="2"/>
  <c r="P55" i="2"/>
  <c r="P183" i="2"/>
  <c r="P135" i="2"/>
  <c r="P103" i="2"/>
  <c r="P155" i="2"/>
  <c r="P138" i="2"/>
  <c r="P112" i="2"/>
  <c r="P175" i="2"/>
  <c r="P123" i="2"/>
  <c r="P93" i="2"/>
  <c r="P83" i="2"/>
  <c r="P104" i="2"/>
  <c r="P85" i="2"/>
  <c r="P106" i="2"/>
  <c r="P116" i="2"/>
  <c r="P151" i="2"/>
  <c r="P94" i="2"/>
  <c r="P163" i="2"/>
  <c r="P7" i="2"/>
  <c r="P61" i="2"/>
  <c r="P170" i="2"/>
  <c r="P165" i="2"/>
  <c r="P111" i="2"/>
  <c r="P63" i="2"/>
  <c r="P130" i="2"/>
  <c r="P127" i="2"/>
  <c r="P65" i="2"/>
  <c r="P42" i="2"/>
  <c r="P132" i="2"/>
  <c r="P105" i="2"/>
  <c r="P140" i="2"/>
  <c r="P48" i="2"/>
  <c r="P81" i="2"/>
  <c r="P84" i="2"/>
  <c r="P32" i="2"/>
  <c r="P12" i="2"/>
  <c r="P40" i="2"/>
  <c r="P176" i="2"/>
  <c r="P100" i="2"/>
  <c r="P8" i="2"/>
  <c r="P29" i="2"/>
  <c r="P47" i="2"/>
  <c r="P44" i="2"/>
  <c r="P24" i="2"/>
  <c r="P45" i="2"/>
  <c r="P5" i="2"/>
  <c r="P125" i="2"/>
  <c r="P185" i="2"/>
  <c r="P180" i="2"/>
  <c r="P177" i="2"/>
  <c r="P152" i="2"/>
  <c r="P148" i="2"/>
  <c r="P14" i="2"/>
  <c r="P82" i="2"/>
  <c r="P60" i="2"/>
  <c r="P171" i="2"/>
  <c r="P128" i="2"/>
  <c r="P43" i="2"/>
  <c r="P120" i="2"/>
  <c r="P121" i="2"/>
  <c r="P109" i="2"/>
  <c r="P6" i="2"/>
  <c r="P75" i="2"/>
  <c r="P119" i="2"/>
  <c r="P13" i="2"/>
  <c r="P113" i="2"/>
  <c r="P77" i="2"/>
  <c r="P133" i="2"/>
  <c r="P31" i="2"/>
  <c r="P53" i="2"/>
  <c r="P153" i="2"/>
  <c r="P156" i="2"/>
  <c r="P90" i="2"/>
  <c r="P154" i="2"/>
  <c r="P107" i="2"/>
  <c r="P181" i="2"/>
  <c r="P147" i="2"/>
  <c r="P168" i="2"/>
  <c r="P134" i="2"/>
  <c r="P17" i="2"/>
  <c r="P2" i="2"/>
  <c r="P141" i="2"/>
  <c r="P35" i="2"/>
  <c r="P41" i="2"/>
  <c r="P10" i="2"/>
  <c r="P136" i="2"/>
  <c r="P62" i="2"/>
  <c r="P68" i="2"/>
  <c r="P157" i="2"/>
  <c r="P79" i="2"/>
  <c r="P188" i="2"/>
  <c r="P131" i="2"/>
  <c r="P99" i="2"/>
  <c r="P114" i="2"/>
  <c r="B5" i="4" l="1"/>
  <c r="K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69A240-884D-40F1-B987-960FDD9E3113}" keepAlive="1" name="Query - country_wise_latest" description="Connection to the 'country_wise_latest' query in the workbook." type="5" refreshedVersion="8" background="1" saveData="1">
    <dbPr connection="Provider=Microsoft.Mashup.OleDb.1;Data Source=$Workbook$;Location=country_wise_latest;Extended Properties=&quot;&quot;" command="SELECT * FROM [country_wise_latest]"/>
  </connection>
  <connection id="2" xr16:uid="{990B62AC-0855-4A50-BCC5-37B4269B546E}" keepAlive="1" name="Query - country_wise_latest (2)" description="Connection to the 'country_wise_latest (2)' query in the workbook." type="5" refreshedVersion="8" background="1" saveData="1">
    <dbPr connection="Provider=Microsoft.Mashup.OleDb.1;Data Source=$Workbook$;Location=&quot;country_wise_latest (2)&quot;;Extended Properties=&quot;&quot;" command="SELECT * FROM [country_wise_latest (2)]"/>
  </connection>
</connections>
</file>

<file path=xl/sharedStrings.xml><?xml version="1.0" encoding="utf-8"?>
<sst xmlns="http://schemas.openxmlformats.org/spreadsheetml/2006/main" count="1220" uniqueCount="395">
  <si>
    <t>Country/Region</t>
  </si>
  <si>
    <t>Confirmed</t>
  </si>
  <si>
    <t>Deaths</t>
  </si>
  <si>
    <t>Recovered</t>
  </si>
  <si>
    <t>Active</t>
  </si>
  <si>
    <t>New cases</t>
  </si>
  <si>
    <t>New deaths</t>
  </si>
  <si>
    <t>New recovered</t>
  </si>
  <si>
    <t>Deaths / 100 Cases</t>
  </si>
  <si>
    <t>Recovered / 100 Cases</t>
  </si>
  <si>
    <t>Deaths / 100 Recovered</t>
  </si>
  <si>
    <t>Confirmed last week</t>
  </si>
  <si>
    <t>1 week change</t>
  </si>
  <si>
    <t>1 week % increase</t>
  </si>
  <si>
    <t>WHO Region</t>
  </si>
  <si>
    <t>Afghanistan</t>
  </si>
  <si>
    <t>5.04</t>
  </si>
  <si>
    <t>Eastern Mediterranean</t>
  </si>
  <si>
    <t>Albania</t>
  </si>
  <si>
    <t>5.25</t>
  </si>
  <si>
    <t>Europe</t>
  </si>
  <si>
    <t>Algeria</t>
  </si>
  <si>
    <t>6.17</t>
  </si>
  <si>
    <t>Africa</t>
  </si>
  <si>
    <t>Andorra</t>
  </si>
  <si>
    <t>6.48</t>
  </si>
  <si>
    <t>Angola</t>
  </si>
  <si>
    <t>16.94</t>
  </si>
  <si>
    <t>Antigua and Barbuda</t>
  </si>
  <si>
    <t>4.62</t>
  </si>
  <si>
    <t>Americas</t>
  </si>
  <si>
    <t>Argentina</t>
  </si>
  <si>
    <t>4.21</t>
  </si>
  <si>
    <t>Armenia</t>
  </si>
  <si>
    <t>2.67</t>
  </si>
  <si>
    <t>Australia</t>
  </si>
  <si>
    <t>1.79</t>
  </si>
  <si>
    <t>Western Pacific</t>
  </si>
  <si>
    <t>Austria</t>
  </si>
  <si>
    <t>3.91</t>
  </si>
  <si>
    <t>Azerbaijan</t>
  </si>
  <si>
    <t>1.82</t>
  </si>
  <si>
    <t>Bahamas</t>
  </si>
  <si>
    <t>12.09</t>
  </si>
  <si>
    <t>Bahrain</t>
  </si>
  <si>
    <t>0.39</t>
  </si>
  <si>
    <t>Bangladesh</t>
  </si>
  <si>
    <t>2.36</t>
  </si>
  <si>
    <t>South-East Asia</t>
  </si>
  <si>
    <t>Barbados</t>
  </si>
  <si>
    <t>7.45</t>
  </si>
  <si>
    <t>Belarus</t>
  </si>
  <si>
    <t>0.89</t>
  </si>
  <si>
    <t>Belgium</t>
  </si>
  <si>
    <t>56.28</t>
  </si>
  <si>
    <t>Belize</t>
  </si>
  <si>
    <t>7.69</t>
  </si>
  <si>
    <t>Benin</t>
  </si>
  <si>
    <t>3.38</t>
  </si>
  <si>
    <t>Bhutan</t>
  </si>
  <si>
    <t>0.0</t>
  </si>
  <si>
    <t>Bolivia</t>
  </si>
  <si>
    <t>12.32</t>
  </si>
  <si>
    <t>Bosnia and Herzegovina</t>
  </si>
  <si>
    <t>5.96</t>
  </si>
  <si>
    <t>Botswana</t>
  </si>
  <si>
    <t>3.17</t>
  </si>
  <si>
    <t>Brazil</t>
  </si>
  <si>
    <t>4.74</t>
  </si>
  <si>
    <t>Brunei</t>
  </si>
  <si>
    <t>2.17</t>
  </si>
  <si>
    <t>Bulgaria</t>
  </si>
  <si>
    <t>6.21</t>
  </si>
  <si>
    <t>Burkina Faso</t>
  </si>
  <si>
    <t>5.72</t>
  </si>
  <si>
    <t>Burma</t>
  </si>
  <si>
    <t>2.05</t>
  </si>
  <si>
    <t>Burundi</t>
  </si>
  <si>
    <t>0.33</t>
  </si>
  <si>
    <t>Cabo Verde</t>
  </si>
  <si>
    <t>1.42</t>
  </si>
  <si>
    <t>Cambodia</t>
  </si>
  <si>
    <t>Cameroon</t>
  </si>
  <si>
    <t>2.69</t>
  </si>
  <si>
    <t>Canada</t>
  </si>
  <si>
    <t>inf</t>
  </si>
  <si>
    <t>Central African Republic</t>
  </si>
  <si>
    <t>3.82</t>
  </si>
  <si>
    <t>Chad</t>
  </si>
  <si>
    <t>9.26</t>
  </si>
  <si>
    <t>Chile</t>
  </si>
  <si>
    <t>2.87</t>
  </si>
  <si>
    <t>China</t>
  </si>
  <si>
    <t>5.9</t>
  </si>
  <si>
    <t>Colombia</t>
  </si>
  <si>
    <t>6.69</t>
  </si>
  <si>
    <t>Comoros</t>
  </si>
  <si>
    <t>2.13</t>
  </si>
  <si>
    <t>Congo (Brazzaville)</t>
  </si>
  <si>
    <t>6.51</t>
  </si>
  <si>
    <t>Congo (Kinshasa)</t>
  </si>
  <si>
    <t>3.65</t>
  </si>
  <si>
    <t>Costa Rica</t>
  </si>
  <si>
    <t>3.01</t>
  </si>
  <si>
    <t>Cote d'Ivoire</t>
  </si>
  <si>
    <t>0.93</t>
  </si>
  <si>
    <t>Croatia</t>
  </si>
  <si>
    <t>3.53</t>
  </si>
  <si>
    <t>Cuba</t>
  </si>
  <si>
    <t>3.7</t>
  </si>
  <si>
    <t>Cyprus</t>
  </si>
  <si>
    <t>2.23</t>
  </si>
  <si>
    <t>Czechia</t>
  </si>
  <si>
    <t>3.26</t>
  </si>
  <si>
    <t>Denmark</t>
  </si>
  <si>
    <t>4.86</t>
  </si>
  <si>
    <t>Djibouti</t>
  </si>
  <si>
    <t>1.17</t>
  </si>
  <si>
    <t>Dominica</t>
  </si>
  <si>
    <t>Dominican Republic</t>
  </si>
  <si>
    <t>3.59</t>
  </si>
  <si>
    <t>Ecuador</t>
  </si>
  <si>
    <t>15.85</t>
  </si>
  <si>
    <t>Egypt</t>
  </si>
  <si>
    <t>13.35</t>
  </si>
  <si>
    <t>El Salvador</t>
  </si>
  <si>
    <t>Equatorial Guinea</t>
  </si>
  <si>
    <t>6.06</t>
  </si>
  <si>
    <t>Eritrea</t>
  </si>
  <si>
    <t>Estonia</t>
  </si>
  <si>
    <t>Eswatini</t>
  </si>
  <si>
    <t>3.32</t>
  </si>
  <si>
    <t>Ethiopia</t>
  </si>
  <si>
    <t>3.57</t>
  </si>
  <si>
    <t>Fiji</t>
  </si>
  <si>
    <t>Finland</t>
  </si>
  <si>
    <t>4.75</t>
  </si>
  <si>
    <t>France</t>
  </si>
  <si>
    <t>37.2</t>
  </si>
  <si>
    <t>Gabon</t>
  </si>
  <si>
    <t>1.05</t>
  </si>
  <si>
    <t>Gambia</t>
  </si>
  <si>
    <t>12.12</t>
  </si>
  <si>
    <t>Georgia</t>
  </si>
  <si>
    <t>1.74</t>
  </si>
  <si>
    <t>Germany</t>
  </si>
  <si>
    <t>4.79</t>
  </si>
  <si>
    <t>Ghana</t>
  </si>
  <si>
    <t>0.56</t>
  </si>
  <si>
    <t>Greece</t>
  </si>
  <si>
    <t>14.7</t>
  </si>
  <si>
    <t>Greenland</t>
  </si>
  <si>
    <t>Grenada</t>
  </si>
  <si>
    <t>Guatemala</t>
  </si>
  <si>
    <t>5.43</t>
  </si>
  <si>
    <t>Guinea</t>
  </si>
  <si>
    <t>0.72</t>
  </si>
  <si>
    <t>Guinea-Bissau</t>
  </si>
  <si>
    <t>3.24</t>
  </si>
  <si>
    <t>Guyana</t>
  </si>
  <si>
    <t>11.05</t>
  </si>
  <si>
    <t>Haiti</t>
  </si>
  <si>
    <t>3.62</t>
  </si>
  <si>
    <t>Holy See</t>
  </si>
  <si>
    <t>Honduras</t>
  </si>
  <si>
    <t>23.14</t>
  </si>
  <si>
    <t>Hungary</t>
  </si>
  <si>
    <t>17.9</t>
  </si>
  <si>
    <t>Iceland</t>
  </si>
  <si>
    <t>0.55</t>
  </si>
  <si>
    <t>India</t>
  </si>
  <si>
    <t>3.51</t>
  </si>
  <si>
    <t>Indonesia</t>
  </si>
  <si>
    <t>8.32</t>
  </si>
  <si>
    <t>Iran</t>
  </si>
  <si>
    <t>6.24</t>
  </si>
  <si>
    <t>Iraq</t>
  </si>
  <si>
    <t>5.78</t>
  </si>
  <si>
    <t>Ireland</t>
  </si>
  <si>
    <t>7.55</t>
  </si>
  <si>
    <t>Israel</t>
  </si>
  <si>
    <t>1.75</t>
  </si>
  <si>
    <t>Italy</t>
  </si>
  <si>
    <t>17.68</t>
  </si>
  <si>
    <t>Jamaica</t>
  </si>
  <si>
    <t>1.4</t>
  </si>
  <si>
    <t>Japan</t>
  </si>
  <si>
    <t>4.54</t>
  </si>
  <si>
    <t>Jordan</t>
  </si>
  <si>
    <t>1.06</t>
  </si>
  <si>
    <t>Kazakhstan</t>
  </si>
  <si>
    <t>1.08</t>
  </si>
  <si>
    <t>Kenya</t>
  </si>
  <si>
    <t>3.64</t>
  </si>
  <si>
    <t>Kosovo</t>
  </si>
  <si>
    <t>4.59</t>
  </si>
  <si>
    <t>Kuwait</t>
  </si>
  <si>
    <t>0.8</t>
  </si>
  <si>
    <t>Kyrgyzstan</t>
  </si>
  <si>
    <t>6.14</t>
  </si>
  <si>
    <t>Laos</t>
  </si>
  <si>
    <t>Latvia</t>
  </si>
  <si>
    <t>2.97</t>
  </si>
  <si>
    <t>Lebanon</t>
  </si>
  <si>
    <t>2.98</t>
  </si>
  <si>
    <t>Lesotho</t>
  </si>
  <si>
    <t>9.38</t>
  </si>
  <si>
    <t>Liberia</t>
  </si>
  <si>
    <t>11.15</t>
  </si>
  <si>
    <t>Libya</t>
  </si>
  <si>
    <t>11.09</t>
  </si>
  <si>
    <t>Liechtenstein</t>
  </si>
  <si>
    <t>1.23</t>
  </si>
  <si>
    <t>Lithuania</t>
  </si>
  <si>
    <t>4.94</t>
  </si>
  <si>
    <t>Luxembourg</t>
  </si>
  <si>
    <t>2.32</t>
  </si>
  <si>
    <t>Madagascar</t>
  </si>
  <si>
    <t>1.45</t>
  </si>
  <si>
    <t>Malawi</t>
  </si>
  <si>
    <t>6.02</t>
  </si>
  <si>
    <t>Malaysia</t>
  </si>
  <si>
    <t>1.44</t>
  </si>
  <si>
    <t>Maldives</t>
  </si>
  <si>
    <t>0.59</t>
  </si>
  <si>
    <t>Mali</t>
  </si>
  <si>
    <t>Malta</t>
  </si>
  <si>
    <t>1.35</t>
  </si>
  <si>
    <t>Mauritania</t>
  </si>
  <si>
    <t>3.35</t>
  </si>
  <si>
    <t>Mauritius</t>
  </si>
  <si>
    <t>Mexico</t>
  </si>
  <si>
    <t>14.49</t>
  </si>
  <si>
    <t>Moldova</t>
  </si>
  <si>
    <t>4.63</t>
  </si>
  <si>
    <t>Monaco</t>
  </si>
  <si>
    <t>3.85</t>
  </si>
  <si>
    <t>Mongolia</t>
  </si>
  <si>
    <t>Montenegro</t>
  </si>
  <si>
    <t>5.56</t>
  </si>
  <si>
    <t>Morocco</t>
  </si>
  <si>
    <t>1.91</t>
  </si>
  <si>
    <t>Mozambique</t>
  </si>
  <si>
    <t>Namibia</t>
  </si>
  <si>
    <t>7.92</t>
  </si>
  <si>
    <t>Nepal</t>
  </si>
  <si>
    <t>0.35</t>
  </si>
  <si>
    <t>Netherlands</t>
  </si>
  <si>
    <t>3259.26</t>
  </si>
  <si>
    <t>New Zealand</t>
  </si>
  <si>
    <t>Nicaragua</t>
  </si>
  <si>
    <t>4.33</t>
  </si>
  <si>
    <t>Niger</t>
  </si>
  <si>
    <t>6.72</t>
  </si>
  <si>
    <t>Nigeria</t>
  </si>
  <si>
    <t>4.72</t>
  </si>
  <si>
    <t>North Macedonia</t>
  </si>
  <si>
    <t>8.38</t>
  </si>
  <si>
    <t>Norway</t>
  </si>
  <si>
    <t>2.91</t>
  </si>
  <si>
    <t>Oman</t>
  </si>
  <si>
    <t>0.69</t>
  </si>
  <si>
    <t>Pakistan</t>
  </si>
  <si>
    <t>2.42</t>
  </si>
  <si>
    <t>Panama</t>
  </si>
  <si>
    <t>3.77</t>
  </si>
  <si>
    <t>Papua New Guinea</t>
  </si>
  <si>
    <t>Paraguay</t>
  </si>
  <si>
    <t>1.48</t>
  </si>
  <si>
    <t>Peru</t>
  </si>
  <si>
    <t>6.76</t>
  </si>
  <si>
    <t>Philippines</t>
  </si>
  <si>
    <t>7.35</t>
  </si>
  <si>
    <t>Poland</t>
  </si>
  <si>
    <t>5.1</t>
  </si>
  <si>
    <t>Portugal</t>
  </si>
  <si>
    <t>Qatar</t>
  </si>
  <si>
    <t>0.16</t>
  </si>
  <si>
    <t>Romania</t>
  </si>
  <si>
    <t>8.55</t>
  </si>
  <si>
    <t>Russia</t>
  </si>
  <si>
    <t>2.21</t>
  </si>
  <si>
    <t>Rwanda</t>
  </si>
  <si>
    <t>0.51</t>
  </si>
  <si>
    <t>Saint Kitts and Nevis</t>
  </si>
  <si>
    <t>Saint Lucia</t>
  </si>
  <si>
    <t>Saint Vincent and the Grenadines</t>
  </si>
  <si>
    <t>San Marino</t>
  </si>
  <si>
    <t>6.39</t>
  </si>
  <si>
    <t>Sao Tome and Principe</t>
  </si>
  <si>
    <t>Saudi Arabia</t>
  </si>
  <si>
    <t>1.24</t>
  </si>
  <si>
    <t>Senegal</t>
  </si>
  <si>
    <t>3.0</t>
  </si>
  <si>
    <t>Serbia</t>
  </si>
  <si>
    <t>Seychelles</t>
  </si>
  <si>
    <t>Sierra Leone</t>
  </si>
  <si>
    <t>5.01</t>
  </si>
  <si>
    <t>Singapore</t>
  </si>
  <si>
    <t>0.06</t>
  </si>
  <si>
    <t>Slovakia</t>
  </si>
  <si>
    <t>1.73</t>
  </si>
  <si>
    <t>Slovenia</t>
  </si>
  <si>
    <t>Somalia</t>
  </si>
  <si>
    <t>6.03</t>
  </si>
  <si>
    <t>South Africa</t>
  </si>
  <si>
    <t>2.57</t>
  </si>
  <si>
    <t>South Korea</t>
  </si>
  <si>
    <t>2.31</t>
  </si>
  <si>
    <t>South Sudan</t>
  </si>
  <si>
    <t>Spain</t>
  </si>
  <si>
    <t>18.91</t>
  </si>
  <si>
    <t>Sri Lanka</t>
  </si>
  <si>
    <t>0.52</t>
  </si>
  <si>
    <t>Sudan</t>
  </si>
  <si>
    <t>Suriname</t>
  </si>
  <si>
    <t>2.59</t>
  </si>
  <si>
    <t>Sweden</t>
  </si>
  <si>
    <t>Switzerland</t>
  </si>
  <si>
    <t>6.4</t>
  </si>
  <si>
    <t>Syria</t>
  </si>
  <si>
    <t>Taiwan*</t>
  </si>
  <si>
    <t>1.59</t>
  </si>
  <si>
    <t>Tajikistan</t>
  </si>
  <si>
    <t>1.0</t>
  </si>
  <si>
    <t>Tanzania</t>
  </si>
  <si>
    <t>11.48</t>
  </si>
  <si>
    <t>Thailand</t>
  </si>
  <si>
    <t>1.86</t>
  </si>
  <si>
    <t>Timor-Leste</t>
  </si>
  <si>
    <t>Togo</t>
  </si>
  <si>
    <t>Trinidad and Tobago</t>
  </si>
  <si>
    <t>6.25</t>
  </si>
  <si>
    <t>Tunisia</t>
  </si>
  <si>
    <t>4.32</t>
  </si>
  <si>
    <t>Turkey</t>
  </si>
  <si>
    <t>US</t>
  </si>
  <si>
    <t>11.16</t>
  </si>
  <si>
    <t>Uganda</t>
  </si>
  <si>
    <t>0.2</t>
  </si>
  <si>
    <t>Ukraine</t>
  </si>
  <si>
    <t>4.4</t>
  </si>
  <si>
    <t>United Arab Emirates</t>
  </si>
  <si>
    <t>0.66</t>
  </si>
  <si>
    <t>United Kingdom</t>
  </si>
  <si>
    <t>3190.26</t>
  </si>
  <si>
    <t>Uruguay</t>
  </si>
  <si>
    <t>3.68</t>
  </si>
  <si>
    <t>Uzbekistan</t>
  </si>
  <si>
    <t>1.04</t>
  </si>
  <si>
    <t>Venezuela</t>
  </si>
  <si>
    <t>1.47</t>
  </si>
  <si>
    <t>Vietnam</t>
  </si>
  <si>
    <t>West Bank and Gaza</t>
  </si>
  <si>
    <t>2.08</t>
  </si>
  <si>
    <t>Western Sahara</t>
  </si>
  <si>
    <t>12.5</t>
  </si>
  <si>
    <t>Yemen</t>
  </si>
  <si>
    <t>57.98</t>
  </si>
  <si>
    <t>Zambia</t>
  </si>
  <si>
    <t>4.97</t>
  </si>
  <si>
    <t>Zimbabwe</t>
  </si>
  <si>
    <t>6.64</t>
  </si>
  <si>
    <t>Death Rate</t>
  </si>
  <si>
    <t>Recovery Rate</t>
  </si>
  <si>
    <t>Active Case Percentage</t>
  </si>
  <si>
    <t>Risk Category based on New Deaths</t>
  </si>
  <si>
    <t>Country Ranking</t>
  </si>
  <si>
    <t>Case Severity Category</t>
  </si>
  <si>
    <t>Grand Total</t>
  </si>
  <si>
    <t>Sum of Confirmed</t>
  </si>
  <si>
    <t>TOP COUNTRIES WITH CONFIRMED CASES</t>
  </si>
  <si>
    <t>REGION WISE ANALYSIS</t>
  </si>
  <si>
    <t>Countries</t>
  </si>
  <si>
    <t>Average of Death Rate</t>
  </si>
  <si>
    <t>Country</t>
  </si>
  <si>
    <t>COUNTRY WISE DEATH ANALYSIS</t>
  </si>
  <si>
    <t>RECOVERY ANALYSIS</t>
  </si>
  <si>
    <t>Average of Recovery Rate</t>
  </si>
  <si>
    <t>COVID -19 ANALYSIS DASHBOARD</t>
  </si>
  <si>
    <t>TOTAL CASES</t>
  </si>
  <si>
    <t>TOTAL DEATHS</t>
  </si>
  <si>
    <t>ACTIVE CASES</t>
  </si>
  <si>
    <t>RECOVERY RATE</t>
  </si>
  <si>
    <t xml:space="preserve">COLUMN </t>
  </si>
  <si>
    <t>RESULT</t>
  </si>
  <si>
    <t>Total Countries Analyzed</t>
  </si>
  <si>
    <t>Total Confirmed Cases</t>
  </si>
  <si>
    <t>Total Deaths</t>
  </si>
  <si>
    <t>Global Case Fatality Rate</t>
  </si>
  <si>
    <t>America Total Cases</t>
  </si>
  <si>
    <t>Europe Total Deaths</t>
  </si>
  <si>
    <t>Country with Most Cases</t>
  </si>
  <si>
    <t>Country with Highest Death Rate</t>
  </si>
  <si>
    <t>Region with Highest Confirmed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</si>
</sst>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1"/>
      <color theme="0" tint="-0.14999847407452621"/>
      <name val="Calibri"/>
      <family val="2"/>
      <scheme val="minor"/>
    </font>
    <font>
      <b/>
      <sz val="12"/>
      <color theme="0" tint="-0.14999847407452621"/>
      <name val="Calibri"/>
      <family val="2"/>
      <scheme val="minor"/>
    </font>
    <font>
      <b/>
      <sz val="22"/>
      <color theme="0" tint="-0.14999847407452621"/>
      <name val="Calibri"/>
      <family val="2"/>
      <scheme val="minor"/>
    </font>
    <font>
      <b/>
      <sz val="24"/>
      <color theme="0" tint="-0.14999847407452621"/>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0.499984740745262"/>
        <bgColor indexed="64"/>
      </patternFill>
    </fill>
    <fill>
      <patternFill patternType="solid">
        <fgColor theme="8" tint="0.59999389629810485"/>
        <bgColor indexed="64"/>
      </patternFill>
    </fill>
  </fills>
  <borders count="24">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s>
  <cellStyleXfs count="2">
    <xf numFmtId="0" fontId="0" fillId="0" borderId="0"/>
    <xf numFmtId="9" fontId="1" fillId="0" borderId="0" applyFont="0" applyFill="0" applyBorder="0" applyAlignment="0" applyProtection="0"/>
  </cellStyleXfs>
  <cellXfs count="64">
    <xf numFmtId="0" fontId="0" fillId="0" borderId="0" xfId="0"/>
    <xf numFmtId="0" fontId="0" fillId="0" borderId="0" xfId="0" applyNumberFormat="1"/>
    <xf numFmtId="9" fontId="0" fillId="0" borderId="0" xfId="1" applyFont="1"/>
    <xf numFmtId="2" fontId="0" fillId="0" borderId="0" xfId="0" applyNumberFormat="1"/>
    <xf numFmtId="0" fontId="0" fillId="0" borderId="0" xfId="0"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0" fillId="0" borderId="1" xfId="0" applyBorder="1" applyAlignment="1">
      <alignment horizontal="left"/>
    </xf>
    <xf numFmtId="0" fontId="0" fillId="0" borderId="2" xfId="0" applyBorder="1" applyAlignment="1">
      <alignment horizontal="left"/>
    </xf>
    <xf numFmtId="0" fontId="0" fillId="0" borderId="1" xfId="0" applyNumberFormat="1" applyBorder="1"/>
    <xf numFmtId="0" fontId="0" fillId="0" borderId="2" xfId="0" applyNumberFormat="1" applyBorder="1"/>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7" xfId="0" applyBorder="1"/>
    <xf numFmtId="2" fontId="0" fillId="0" borderId="1" xfId="0" applyNumberFormat="1" applyBorder="1"/>
    <xf numFmtId="2" fontId="0" fillId="0" borderId="2" xfId="0" applyNumberFormat="1" applyBorder="1"/>
    <xf numFmtId="0" fontId="0" fillId="0" borderId="2" xfId="0" pivotButton="1" applyBorder="1"/>
    <xf numFmtId="0" fontId="0" fillId="0" borderId="2" xfId="0" applyBorder="1"/>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3" borderId="0" xfId="0" applyFill="1"/>
    <xf numFmtId="0" fontId="6" fillId="5" borderId="0" xfId="0" applyFont="1" applyFill="1"/>
    <xf numFmtId="0" fontId="8" fillId="4" borderId="11"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166" fontId="8" fillId="4" borderId="11" xfId="0" applyNumberFormat="1" applyFont="1" applyFill="1" applyBorder="1" applyAlignment="1">
      <alignment horizontal="center" vertical="center"/>
    </xf>
    <xf numFmtId="166" fontId="8" fillId="4" borderId="0" xfId="0" applyNumberFormat="1" applyFont="1" applyFill="1" applyBorder="1" applyAlignment="1">
      <alignment horizontal="center" vertical="center"/>
    </xf>
    <xf numFmtId="166" fontId="8" fillId="4" borderId="12" xfId="0" applyNumberFormat="1" applyFont="1" applyFill="1" applyBorder="1" applyAlignment="1">
      <alignment horizontal="center" vertical="center"/>
    </xf>
    <xf numFmtId="166" fontId="8" fillId="4" borderId="13" xfId="0" applyNumberFormat="1" applyFont="1" applyFill="1" applyBorder="1" applyAlignment="1">
      <alignment horizontal="center" vertical="center"/>
    </xf>
    <xf numFmtId="166" fontId="8" fillId="4" borderId="14" xfId="0" applyNumberFormat="1" applyFont="1" applyFill="1" applyBorder="1" applyAlignment="1">
      <alignment horizontal="center" vertical="center"/>
    </xf>
    <xf numFmtId="166" fontId="8" fillId="4" borderId="15" xfId="0" applyNumberFormat="1" applyFont="1" applyFill="1" applyBorder="1" applyAlignment="1">
      <alignment horizontal="center" vertical="center"/>
    </xf>
    <xf numFmtId="0" fontId="7" fillId="4" borderId="11" xfId="0" applyFont="1" applyFill="1" applyBorder="1" applyAlignment="1">
      <alignment horizontal="center"/>
    </xf>
    <xf numFmtId="0" fontId="7" fillId="4" borderId="0" xfId="0" applyFont="1" applyFill="1" applyBorder="1" applyAlignment="1">
      <alignment horizontal="center"/>
    </xf>
    <xf numFmtId="0" fontId="7" fillId="4" borderId="12" xfId="0" applyFont="1" applyFill="1" applyBorder="1" applyAlignment="1">
      <alignment horizontal="center"/>
    </xf>
    <xf numFmtId="0" fontId="9" fillId="5" borderId="8"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0" xfId="0" applyFont="1" applyFill="1" applyBorder="1" applyAlignment="1">
      <alignment vertical="center"/>
    </xf>
    <xf numFmtId="0" fontId="6" fillId="5" borderId="0" xfId="0" applyFont="1" applyFill="1" applyBorder="1"/>
    <xf numFmtId="0" fontId="9" fillId="5" borderId="11" xfId="0" applyFont="1" applyFill="1" applyBorder="1" applyAlignment="1">
      <alignment vertical="center"/>
    </xf>
    <xf numFmtId="0" fontId="0" fillId="0" borderId="1" xfId="0" pivotButton="1" applyBorder="1"/>
    <xf numFmtId="0" fontId="0" fillId="0" borderId="18" xfId="0" applyBorder="1" applyAlignment="1">
      <alignment horizontal="right"/>
    </xf>
    <xf numFmtId="9" fontId="0" fillId="0" borderId="18" xfId="1" applyFont="1" applyBorder="1" applyAlignment="1">
      <alignment horizontal="right"/>
    </xf>
    <xf numFmtId="0" fontId="0" fillId="0" borderId="19" xfId="0" applyBorder="1" applyAlignment="1">
      <alignment horizontal="right"/>
    </xf>
    <xf numFmtId="0" fontId="0" fillId="0" borderId="21" xfId="0" applyBorder="1" applyAlignment="1">
      <alignment horizontal="left"/>
    </xf>
    <xf numFmtId="0" fontId="0" fillId="0" borderId="22" xfId="0" applyBorder="1" applyAlignment="1">
      <alignment horizontal="left"/>
    </xf>
    <xf numFmtId="0" fontId="4" fillId="6" borderId="16" xfId="0" applyFont="1" applyFill="1" applyBorder="1" applyAlignment="1">
      <alignment horizontal="center"/>
    </xf>
    <xf numFmtId="0" fontId="4" fillId="6" borderId="23" xfId="0" applyFont="1" applyFill="1" applyBorder="1" applyAlignment="1">
      <alignment horizontal="center"/>
    </xf>
    <xf numFmtId="0" fontId="5" fillId="0" borderId="21" xfId="0" applyFont="1" applyBorder="1" applyAlignment="1">
      <alignment horizontal="left"/>
    </xf>
    <xf numFmtId="0" fontId="5" fillId="0" borderId="22" xfId="0" applyFont="1" applyBorder="1" applyAlignment="1">
      <alignment horizontal="left"/>
    </xf>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Border="1" applyAlignment="1">
      <alignment horizontal="left"/>
    </xf>
  </cellXfs>
  <cellStyles count="2">
    <cellStyle name="Normal" xfId="0" builtinId="0"/>
    <cellStyle name="Percent" xfId="1" builtinId="5"/>
  </cellStyles>
  <dxfs count="114">
    <dxf>
      <border>
        <right style="thin">
          <color theme="1"/>
        </right>
      </border>
    </dxf>
    <dxf>
      <border>
        <left style="thin">
          <color theme="1"/>
        </left>
        <right style="thin">
          <color theme="1"/>
        </right>
        <top style="thin">
          <color theme="1"/>
        </top>
        <bottom style="thin">
          <color theme="1"/>
        </bottom>
      </border>
    </dxf>
    <dxf>
      <border>
        <left style="thin">
          <color theme="0"/>
        </left>
        <right style="thin">
          <color theme="0"/>
        </right>
        <top style="thin">
          <color theme="0"/>
        </top>
        <bottom style="thin">
          <color theme="0"/>
        </bottom>
      </border>
    </dxf>
    <dxf>
      <border>
        <left style="thin">
          <color theme="1"/>
        </left>
        <right style="thin">
          <color theme="1"/>
        </right>
        <top style="thin">
          <color theme="1"/>
        </top>
        <bottom style="thin">
          <color theme="1"/>
        </bottom>
      </border>
    </dxf>
    <dxf>
      <font>
        <color rgb="FF9C0006"/>
      </font>
      <fill>
        <patternFill>
          <bgColor rgb="FFFFC7CE"/>
        </patternFill>
      </fill>
    </dxf>
    <dxf>
      <font>
        <color rgb="FF9C0006"/>
      </font>
      <fill>
        <patternFill>
          <bgColor rgb="FFFFC7CE"/>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bottom style="thin">
          <color indexed="64"/>
        </bottom>
      </border>
    </dxf>
    <dxf>
      <border>
        <right style="thin">
          <color indexed="64"/>
        </right>
        <bottom style="thin">
          <color indexed="64"/>
        </bottom>
      </border>
    </dxf>
    <dxf>
      <border>
        <left style="thin">
          <color theme="0"/>
        </left>
        <right style="thin">
          <color theme="0"/>
        </right>
        <top style="thin">
          <color theme="0"/>
        </top>
        <bottom style="thin">
          <color theme="0"/>
        </bottom>
      </border>
    </dxf>
    <dxf>
      <border>
        <left/>
        <right/>
        <top/>
        <bottom/>
        <horizontal/>
      </border>
    </dxf>
    <dxf>
      <border>
        <left style="thin">
          <color indexed="64"/>
        </left>
        <right style="thin">
          <color indexed="64"/>
        </right>
        <bottom style="thin">
          <color indexed="64"/>
        </bottom>
      </border>
    </dxf>
    <dxf>
      <border>
        <right style="thin">
          <color indexed="64"/>
        </right>
        <bottom style="thin">
          <color indexed="64"/>
        </bottom>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theme="0"/>
        </right>
        <bottom style="thin">
          <color theme="0"/>
        </bottom>
      </border>
    </dxf>
    <dxf>
      <border>
        <left/>
        <right/>
        <top/>
        <bottom/>
        <horizontal/>
      </border>
    </dxf>
    <dxf>
      <border>
        <left style="thin">
          <color indexed="64"/>
        </left>
        <right style="thin">
          <color indexed="64"/>
        </right>
        <bottom style="thin">
          <color indexed="64"/>
        </bottom>
      </border>
    </dxf>
    <dxf>
      <border>
        <right style="thin">
          <color indexed="64"/>
        </right>
        <bottom style="thin">
          <color indexed="64"/>
        </bottom>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theme="0"/>
        </right>
        <bottom style="thin">
          <color theme="0"/>
        </bottom>
      </border>
    </dxf>
    <dxf>
      <border>
        <left/>
        <right/>
        <top/>
        <bottom/>
        <horizontal/>
      </border>
    </dxf>
    <dxf>
      <border>
        <left style="thin">
          <color indexed="64"/>
        </left>
        <right style="thin">
          <color indexed="64"/>
        </right>
        <bottom style="thin">
          <color indexed="64"/>
        </bottom>
      </border>
    </dxf>
    <dxf>
      <border>
        <right style="thin">
          <color indexed="64"/>
        </right>
        <bottom style="thin">
          <color indexed="64"/>
        </bottom>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theme="0"/>
        </right>
        <bottom style="thin">
          <color theme="0"/>
        </bottom>
      </border>
    </dxf>
    <dxf>
      <border>
        <left/>
        <right/>
        <top/>
        <bottom/>
        <horizontal/>
      </border>
    </dxf>
    <dxf>
      <border>
        <left/>
        <right/>
        <top/>
        <bottom/>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rder>
    </dxf>
    <dxf>
      <border>
        <right style="thin">
          <color indexed="64"/>
        </right>
      </border>
    </dxf>
    <dxf>
      <border>
        <right style="thin">
          <color indexed="64"/>
        </right>
      </border>
    </dxf>
    <dxf>
      <numFmt numFmtId="0" formatCode="General"/>
    </dxf>
    <dxf>
      <border>
        <left style="thin">
          <color indexed="64"/>
        </left>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rder>
    </dxf>
    <dxf>
      <border>
        <right style="thin">
          <color indexed="64"/>
        </right>
      </border>
    </dxf>
    <dxf>
      <border>
        <right style="thin">
          <color indexed="64"/>
        </right>
      </border>
    </dxf>
    <dxf>
      <numFmt numFmtId="2" formatCode="0.00"/>
    </dxf>
    <dxf>
      <numFmt numFmtId="1" formatCode="0"/>
    </dxf>
    <dxf>
      <numFmt numFmtId="2" formatCode="0.00"/>
      <alignment horizontal="right" vertical="bottom" textRotation="0" wrapText="0" indent="0" justifyLastLine="0" shrinkToFit="0" readingOrder="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Death</a:t>
            </a:r>
            <a:r>
              <a:rPr lang="en-IN" b="1" baseline="0"/>
              <a:t> Rate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'Covid Data'!$A$2:$A$188</c:f>
              <c:strCache>
                <c:ptCount val="187"/>
                <c:pt idx="0">
                  <c:v>US</c:v>
                </c:pt>
                <c:pt idx="1">
                  <c:v>Brazil</c:v>
                </c:pt>
                <c:pt idx="2">
                  <c:v>India</c:v>
                </c:pt>
                <c:pt idx="3">
                  <c:v>Russia</c:v>
                </c:pt>
                <c:pt idx="4">
                  <c:v>South Africa</c:v>
                </c:pt>
                <c:pt idx="5">
                  <c:v>Mexico</c:v>
                </c:pt>
                <c:pt idx="6">
                  <c:v>Peru</c:v>
                </c:pt>
                <c:pt idx="7">
                  <c:v>Chile</c:v>
                </c:pt>
                <c:pt idx="8">
                  <c:v>United Kingdom</c:v>
                </c:pt>
                <c:pt idx="9">
                  <c:v>Iran</c:v>
                </c:pt>
                <c:pt idx="10">
                  <c:v>Pakistan</c:v>
                </c:pt>
                <c:pt idx="11">
                  <c:v>Spain</c:v>
                </c:pt>
                <c:pt idx="12">
                  <c:v>Saudi Arabia</c:v>
                </c:pt>
                <c:pt idx="13">
                  <c:v>Colombia</c:v>
                </c:pt>
                <c:pt idx="14">
                  <c:v>Italy</c:v>
                </c:pt>
                <c:pt idx="15">
                  <c:v>Turkey</c:v>
                </c:pt>
                <c:pt idx="16">
                  <c:v>Bangladesh</c:v>
                </c:pt>
                <c:pt idx="17">
                  <c:v>France</c:v>
                </c:pt>
                <c:pt idx="18">
                  <c:v>Germany</c:v>
                </c:pt>
                <c:pt idx="19">
                  <c:v>Argentina</c:v>
                </c:pt>
                <c:pt idx="20">
                  <c:v>Canada</c:v>
                </c:pt>
                <c:pt idx="21">
                  <c:v>Iraq</c:v>
                </c:pt>
                <c:pt idx="22">
                  <c:v>Qatar</c:v>
                </c:pt>
                <c:pt idx="23">
                  <c:v>Indonesia</c:v>
                </c:pt>
                <c:pt idx="24">
                  <c:v>Egypt</c:v>
                </c:pt>
                <c:pt idx="25">
                  <c:v>China</c:v>
                </c:pt>
                <c:pt idx="26">
                  <c:v>Kazakhstan</c:v>
                </c:pt>
                <c:pt idx="27">
                  <c:v>Philippines</c:v>
                </c:pt>
                <c:pt idx="28">
                  <c:v>Ecuador</c:v>
                </c:pt>
                <c:pt idx="29">
                  <c:v>Sweden</c:v>
                </c:pt>
                <c:pt idx="30">
                  <c:v>Oman</c:v>
                </c:pt>
                <c:pt idx="31">
                  <c:v>Bolivia</c:v>
                </c:pt>
                <c:pt idx="32">
                  <c:v>Belarus</c:v>
                </c:pt>
                <c:pt idx="33">
                  <c:v>Ukraine</c:v>
                </c:pt>
                <c:pt idx="34">
                  <c:v>Belgium</c:v>
                </c:pt>
                <c:pt idx="35">
                  <c:v>Kuwait</c:v>
                </c:pt>
                <c:pt idx="36">
                  <c:v>Dominican Republic</c:v>
                </c:pt>
                <c:pt idx="37">
                  <c:v>Israel</c:v>
                </c:pt>
                <c:pt idx="38">
                  <c:v>Panama</c:v>
                </c:pt>
                <c:pt idx="39">
                  <c:v>United Arab Emirates</c:v>
                </c:pt>
                <c:pt idx="40">
                  <c:v>Netherlands</c:v>
                </c:pt>
                <c:pt idx="41">
                  <c:v>Singapore</c:v>
                </c:pt>
                <c:pt idx="42">
                  <c:v>Portugal</c:v>
                </c:pt>
                <c:pt idx="43">
                  <c:v>Romania</c:v>
                </c:pt>
                <c:pt idx="44">
                  <c:v>Guatemala</c:v>
                </c:pt>
                <c:pt idx="45">
                  <c:v>Poland</c:v>
                </c:pt>
                <c:pt idx="46">
                  <c:v>Nigeria</c:v>
                </c:pt>
                <c:pt idx="47">
                  <c:v>Honduras</c:v>
                </c:pt>
                <c:pt idx="48">
                  <c:v>Bahrain</c:v>
                </c:pt>
                <c:pt idx="49">
                  <c:v>Armenia</c:v>
                </c:pt>
                <c:pt idx="50">
                  <c:v>Afghanistan</c:v>
                </c:pt>
                <c:pt idx="51">
                  <c:v>Switzerland</c:v>
                </c:pt>
                <c:pt idx="52">
                  <c:v>Ghana</c:v>
                </c:pt>
                <c:pt idx="53">
                  <c:v>Kyrgyzstan</c:v>
                </c:pt>
                <c:pt idx="54">
                  <c:v>Japan</c:v>
                </c:pt>
                <c:pt idx="55">
                  <c:v>Azerbaijan</c:v>
                </c:pt>
                <c:pt idx="56">
                  <c:v>Algeria</c:v>
                </c:pt>
                <c:pt idx="57">
                  <c:v>Ireland</c:v>
                </c:pt>
                <c:pt idx="58">
                  <c:v>Serbia</c:v>
                </c:pt>
                <c:pt idx="59">
                  <c:v>Moldova</c:v>
                </c:pt>
                <c:pt idx="60">
                  <c:v>Uzbekistan</c:v>
                </c:pt>
                <c:pt idx="61">
                  <c:v>Morocco</c:v>
                </c:pt>
                <c:pt idx="62">
                  <c:v>Austria</c:v>
                </c:pt>
                <c:pt idx="63">
                  <c:v>Nepal</c:v>
                </c:pt>
                <c:pt idx="64">
                  <c:v>Kenya</c:v>
                </c:pt>
                <c:pt idx="65">
                  <c:v>Cameroon</c:v>
                </c:pt>
                <c:pt idx="66">
                  <c:v>Venezuela</c:v>
                </c:pt>
                <c:pt idx="67">
                  <c:v>Costa Rica</c:v>
                </c:pt>
                <c:pt idx="68">
                  <c:v>Cote d'Ivoire</c:v>
                </c:pt>
                <c:pt idx="69">
                  <c:v>Czechia</c:v>
                </c:pt>
                <c:pt idx="70">
                  <c:v>Australia</c:v>
                </c:pt>
                <c:pt idx="71">
                  <c:v>El Salvador</c:v>
                </c:pt>
                <c:pt idx="72">
                  <c:v>Ethiopia</c:v>
                </c:pt>
                <c:pt idx="73">
                  <c:v>South Korea</c:v>
                </c:pt>
                <c:pt idx="74">
                  <c:v>Denmark</c:v>
                </c:pt>
                <c:pt idx="75">
                  <c:v>Sudan</c:v>
                </c:pt>
                <c:pt idx="76">
                  <c:v>Bulgaria</c:v>
                </c:pt>
                <c:pt idx="77">
                  <c:v>West Bank and Gaza</c:v>
                </c:pt>
                <c:pt idx="78">
                  <c:v>Bosnia and Herzegovina</c:v>
                </c:pt>
                <c:pt idx="79">
                  <c:v>North Macedonia</c:v>
                </c:pt>
                <c:pt idx="80">
                  <c:v>Senegal</c:v>
                </c:pt>
                <c:pt idx="81">
                  <c:v>Madagascar</c:v>
                </c:pt>
                <c:pt idx="82">
                  <c:v>Norway</c:v>
                </c:pt>
                <c:pt idx="83">
                  <c:v>Malaysia</c:v>
                </c:pt>
                <c:pt idx="84">
                  <c:v>Congo (Kinshasa)</c:v>
                </c:pt>
                <c:pt idx="85">
                  <c:v>Kosovo</c:v>
                </c:pt>
                <c:pt idx="86">
                  <c:v>Finland</c:v>
                </c:pt>
                <c:pt idx="87">
                  <c:v>Haiti</c:v>
                </c:pt>
                <c:pt idx="88">
                  <c:v>Tajikistan</c:v>
                </c:pt>
                <c:pt idx="89">
                  <c:v>Gabon</c:v>
                </c:pt>
                <c:pt idx="90">
                  <c:v>Guinea</c:v>
                </c:pt>
                <c:pt idx="91">
                  <c:v>Luxembourg</c:v>
                </c:pt>
                <c:pt idx="92">
                  <c:v>Mauritania</c:v>
                </c:pt>
                <c:pt idx="93">
                  <c:v>Djibouti</c:v>
                </c:pt>
                <c:pt idx="94">
                  <c:v>Croatia</c:v>
                </c:pt>
                <c:pt idx="95">
                  <c:v>Albania</c:v>
                </c:pt>
                <c:pt idx="96">
                  <c:v>Central African Republic</c:v>
                </c:pt>
                <c:pt idx="97">
                  <c:v>Zambia</c:v>
                </c:pt>
                <c:pt idx="98">
                  <c:v>Paraguay</c:v>
                </c:pt>
                <c:pt idx="99">
                  <c:v>Hungary</c:v>
                </c:pt>
                <c:pt idx="100">
                  <c:v>Greece</c:v>
                </c:pt>
                <c:pt idx="101">
                  <c:v>Lebanon</c:v>
                </c:pt>
                <c:pt idx="102">
                  <c:v>Malawi</c:v>
                </c:pt>
                <c:pt idx="103">
                  <c:v>Nicaragua</c:v>
                </c:pt>
                <c:pt idx="104">
                  <c:v>Maldives</c:v>
                </c:pt>
                <c:pt idx="105">
                  <c:v>Thailand</c:v>
                </c:pt>
                <c:pt idx="106">
                  <c:v>Congo (Brazzaville)</c:v>
                </c:pt>
                <c:pt idx="107">
                  <c:v>Somalia</c:v>
                </c:pt>
                <c:pt idx="108">
                  <c:v>Equatorial Guinea</c:v>
                </c:pt>
                <c:pt idx="109">
                  <c:v>Montenegro</c:v>
                </c:pt>
                <c:pt idx="110">
                  <c:v>Libya</c:v>
                </c:pt>
                <c:pt idx="111">
                  <c:v>Sri Lanka</c:v>
                </c:pt>
                <c:pt idx="112">
                  <c:v>Zimbabwe</c:v>
                </c:pt>
                <c:pt idx="113">
                  <c:v>Cuba</c:v>
                </c:pt>
                <c:pt idx="114">
                  <c:v>Mali</c:v>
                </c:pt>
                <c:pt idx="115">
                  <c:v>Cabo Verde</c:v>
                </c:pt>
                <c:pt idx="116">
                  <c:v>Eswatini</c:v>
                </c:pt>
                <c:pt idx="117">
                  <c:v>South Sudan</c:v>
                </c:pt>
                <c:pt idx="118">
                  <c:v>Slovakia</c:v>
                </c:pt>
                <c:pt idx="119">
                  <c:v>Slovenia</c:v>
                </c:pt>
                <c:pt idx="120">
                  <c:v>Estonia</c:v>
                </c:pt>
                <c:pt idx="121">
                  <c:v>Lithuania</c:v>
                </c:pt>
                <c:pt idx="122">
                  <c:v>Guinea-Bissau</c:v>
                </c:pt>
                <c:pt idx="123">
                  <c:v>Rwanda</c:v>
                </c:pt>
                <c:pt idx="124">
                  <c:v>Iceland</c:v>
                </c:pt>
                <c:pt idx="125">
                  <c:v>Namibia</c:v>
                </c:pt>
                <c:pt idx="126">
                  <c:v>Sierra Leone</c:v>
                </c:pt>
                <c:pt idx="127">
                  <c:v>Benin</c:v>
                </c:pt>
                <c:pt idx="128">
                  <c:v>Mozambique</c:v>
                </c:pt>
                <c:pt idx="129">
                  <c:v>Yemen</c:v>
                </c:pt>
                <c:pt idx="130">
                  <c:v>New Zealand</c:v>
                </c:pt>
                <c:pt idx="131">
                  <c:v>Suriname</c:v>
                </c:pt>
                <c:pt idx="132">
                  <c:v>Tunisia</c:v>
                </c:pt>
                <c:pt idx="133">
                  <c:v>Latvia</c:v>
                </c:pt>
                <c:pt idx="134">
                  <c:v>Uruguay</c:v>
                </c:pt>
                <c:pt idx="135">
                  <c:v>Jordan</c:v>
                </c:pt>
                <c:pt idx="136">
                  <c:v>Liberia</c:v>
                </c:pt>
                <c:pt idx="137">
                  <c:v>Georgia</c:v>
                </c:pt>
                <c:pt idx="138">
                  <c:v>Niger</c:v>
                </c:pt>
                <c:pt idx="139">
                  <c:v>Uganda</c:v>
                </c:pt>
                <c:pt idx="140">
                  <c:v>Burkina Faso</c:v>
                </c:pt>
                <c:pt idx="141">
                  <c:v>Cyprus</c:v>
                </c:pt>
                <c:pt idx="142">
                  <c:v>Angola</c:v>
                </c:pt>
                <c:pt idx="143">
                  <c:v>Chad</c:v>
                </c:pt>
                <c:pt idx="144">
                  <c:v>Andorra</c:v>
                </c:pt>
                <c:pt idx="145">
                  <c:v>Togo</c:v>
                </c:pt>
                <c:pt idx="146">
                  <c:v>Sao Tome and Principe</c:v>
                </c:pt>
                <c:pt idx="147">
                  <c:v>Jamaica</c:v>
                </c:pt>
                <c:pt idx="148">
                  <c:v>Botswana</c:v>
                </c:pt>
                <c:pt idx="149">
                  <c:v>Malta</c:v>
                </c:pt>
                <c:pt idx="150">
                  <c:v>San Marino</c:v>
                </c:pt>
                <c:pt idx="151">
                  <c:v>Syria</c:v>
                </c:pt>
                <c:pt idx="152">
                  <c:v>Tanzania</c:v>
                </c:pt>
                <c:pt idx="153">
                  <c:v>Lesotho</c:v>
                </c:pt>
                <c:pt idx="154">
                  <c:v>Taiwan*</c:v>
                </c:pt>
                <c:pt idx="155">
                  <c:v>Vietnam</c:v>
                </c:pt>
                <c:pt idx="156">
                  <c:v>Guyana</c:v>
                </c:pt>
                <c:pt idx="157">
                  <c:v>Bahamas</c:v>
                </c:pt>
                <c:pt idx="158">
                  <c:v>Burundi</c:v>
                </c:pt>
                <c:pt idx="159">
                  <c:v>Comoros</c:v>
                </c:pt>
                <c:pt idx="160">
                  <c:v>Burma</c:v>
                </c:pt>
                <c:pt idx="161">
                  <c:v>Mauritius</c:v>
                </c:pt>
                <c:pt idx="162">
                  <c:v>Gambia</c:v>
                </c:pt>
                <c:pt idx="163">
                  <c:v>Mongolia</c:v>
                </c:pt>
                <c:pt idx="164">
                  <c:v>Eritrea</c:v>
                </c:pt>
                <c:pt idx="165">
                  <c:v>Cambodia</c:v>
                </c:pt>
                <c:pt idx="166">
                  <c:v>Trinidad and Tobago</c:v>
                </c:pt>
                <c:pt idx="167">
                  <c:v>Brunei</c:v>
                </c:pt>
                <c:pt idx="168">
                  <c:v>Monaco</c:v>
                </c:pt>
                <c:pt idx="169">
                  <c:v>Seychelles</c:v>
                </c:pt>
                <c:pt idx="170">
                  <c:v>Barbados</c:v>
                </c:pt>
                <c:pt idx="171">
                  <c:v>Bhutan</c:v>
                </c:pt>
                <c:pt idx="172">
                  <c:v>Antigua and Barbuda</c:v>
                </c:pt>
                <c:pt idx="173">
                  <c:v>Liechtenstein</c:v>
                </c:pt>
                <c:pt idx="174">
                  <c:v>Papua New Guinea</c:v>
                </c:pt>
                <c:pt idx="175">
                  <c:v>Saint Vincent and the Grenadines</c:v>
                </c:pt>
                <c:pt idx="176">
                  <c:v>Belize</c:v>
                </c:pt>
                <c:pt idx="177">
                  <c:v>Fiji</c:v>
                </c:pt>
                <c:pt idx="178">
                  <c:v>Saint Lucia</c:v>
                </c:pt>
                <c:pt idx="179">
                  <c:v>Timor-Leste</c:v>
                </c:pt>
                <c:pt idx="180">
                  <c:v>Grenada</c:v>
                </c:pt>
                <c:pt idx="181">
                  <c:v>Laos</c:v>
                </c:pt>
                <c:pt idx="182">
                  <c:v>Dominica</c:v>
                </c:pt>
                <c:pt idx="183">
                  <c:v>Saint Kitts and Nevis</c:v>
                </c:pt>
                <c:pt idx="184">
                  <c:v>Greenland</c:v>
                </c:pt>
                <c:pt idx="185">
                  <c:v>Holy See</c:v>
                </c:pt>
                <c:pt idx="186">
                  <c:v>Western Sahara</c:v>
                </c:pt>
              </c:strCache>
            </c:strRef>
          </c:cat>
          <c:val>
            <c:numRef>
              <c:f>'Covid Data'!$P$2:$P$188</c:f>
              <c:numCache>
                <c:formatCode>0.00</c:formatCode>
                <c:ptCount val="187"/>
                <c:pt idx="0">
                  <c:v>3.4499315775574386</c:v>
                </c:pt>
                <c:pt idx="1">
                  <c:v>3.5874097957930293</c:v>
                </c:pt>
                <c:pt idx="2">
                  <c:v>2.2571859631247917</c:v>
                </c:pt>
                <c:pt idx="3">
                  <c:v>1.6327080374197971</c:v>
                </c:pt>
                <c:pt idx="4">
                  <c:v>1.5616678710093719</c:v>
                </c:pt>
                <c:pt idx="5">
                  <c:v>11.131030193001576</c:v>
                </c:pt>
                <c:pt idx="6">
                  <c:v>4.7259934773181564</c:v>
                </c:pt>
                <c:pt idx="7">
                  <c:v>2.6405267832250239</c:v>
                </c:pt>
                <c:pt idx="8">
                  <c:v>15.194824134593713</c:v>
                </c:pt>
                <c:pt idx="9">
                  <c:v>5.4195077757266539</c:v>
                </c:pt>
                <c:pt idx="10">
                  <c:v>2.1298703192618005</c:v>
                </c:pt>
                <c:pt idx="11">
                  <c:v>10.436787178668311</c:v>
                </c:pt>
                <c:pt idx="12">
                  <c:v>1.0262741044271086</c:v>
                </c:pt>
                <c:pt idx="13">
                  <c:v>3.4138334740043796</c:v>
                </c:pt>
                <c:pt idx="14">
                  <c:v>14.256595990027854</c:v>
                </c:pt>
                <c:pt idx="15">
                  <c:v>2.4799686369863316</c:v>
                </c:pt>
                <c:pt idx="16">
                  <c:v>1.310642059896121</c:v>
                </c:pt>
                <c:pt idx="17">
                  <c:v>13.71079000871333</c:v>
                </c:pt>
                <c:pt idx="18">
                  <c:v>4.4058287303487962</c:v>
                </c:pt>
                <c:pt idx="19">
                  <c:v>1.827184976346347</c:v>
                </c:pt>
                <c:pt idx="20">
                  <c:v>7.6800219821738303</c:v>
                </c:pt>
                <c:pt idx="21">
                  <c:v>3.9596749122884933</c:v>
                </c:pt>
                <c:pt idx="22">
                  <c:v>0.15055156619250529</c:v>
                </c:pt>
                <c:pt idx="23">
                  <c:v>4.8233851430166599</c:v>
                </c:pt>
                <c:pt idx="24">
                  <c:v>5.0301680326982545</c:v>
                </c:pt>
                <c:pt idx="25">
                  <c:v>5.3651060691610111</c:v>
                </c:pt>
                <c:pt idx="26">
                  <c:v>0.69109724978735465</c:v>
                </c:pt>
                <c:pt idx="27">
                  <c:v>2.3707947342759628</c:v>
                </c:pt>
                <c:pt idx="28">
                  <c:v>6.8160816155542685</c:v>
                </c:pt>
                <c:pt idx="29">
                  <c:v>7.1792934063857921</c:v>
                </c:pt>
                <c:pt idx="30">
                  <c:v>0.51000545043992829</c:v>
                </c:pt>
                <c:pt idx="31">
                  <c:v>3.718688975990784</c:v>
                </c:pt>
                <c:pt idx="32">
                  <c:v>0.79998810426610767</c:v>
                </c:pt>
                <c:pt idx="33">
                  <c:v>2.4382973649695958</c:v>
                </c:pt>
                <c:pt idx="34">
                  <c:v>14.785933642439936</c:v>
                </c:pt>
                <c:pt idx="35">
                  <c:v>0.68034607558365301</c:v>
                </c:pt>
                <c:pt idx="36">
                  <c:v>1.688072822495168</c:v>
                </c:pt>
                <c:pt idx="37">
                  <c:v>0.74079862467765878</c:v>
                </c:pt>
                <c:pt idx="38">
                  <c:v>2.1516226685329256</c:v>
                </c:pt>
                <c:pt idx="39">
                  <c:v>0.5829967723946804</c:v>
                </c:pt>
                <c:pt idx="40">
                  <c:v>11.532772920450078</c:v>
                </c:pt>
                <c:pt idx="41">
                  <c:v>5.3109878437389353E-2</c:v>
                </c:pt>
                <c:pt idx="42">
                  <c:v>3.417562973418955</c:v>
                </c:pt>
                <c:pt idx="43">
                  <c:v>4.8058908108579148</c:v>
                </c:pt>
                <c:pt idx="44">
                  <c:v>3.8866450374097861</c:v>
                </c:pt>
                <c:pt idx="45">
                  <c:v>3.8615731993917333</c:v>
                </c:pt>
                <c:pt idx="46">
                  <c:v>2.0883924235065567</c:v>
                </c:pt>
                <c:pt idx="47">
                  <c:v>2.9339976346845829</c:v>
                </c:pt>
                <c:pt idx="48">
                  <c:v>0.35712476571602247</c:v>
                </c:pt>
                <c:pt idx="49">
                  <c:v>1.9015779620219311</c:v>
                </c:pt>
                <c:pt idx="50">
                  <c:v>3.499434685492099</c:v>
                </c:pt>
                <c:pt idx="51">
                  <c:v>5.7371581054036023</c:v>
                </c:pt>
                <c:pt idx="52">
                  <c:v>0.49964311206281231</c:v>
                </c:pt>
                <c:pt idx="53">
                  <c:v>3.9073762614127823</c:v>
                </c:pt>
                <c:pt idx="54">
                  <c:v>3.2046753580373775</c:v>
                </c:pt>
                <c:pt idx="55">
                  <c:v>1.389345069959929</c:v>
                </c:pt>
                <c:pt idx="56">
                  <c:v>4.1575805240767885</c:v>
                </c:pt>
                <c:pt idx="57">
                  <c:v>6.8129151861578858</c:v>
                </c:pt>
                <c:pt idx="58">
                  <c:v>2.2492854479930409</c:v>
                </c:pt>
                <c:pt idx="59">
                  <c:v>3.2305433186490458</c:v>
                </c:pt>
                <c:pt idx="60">
                  <c:v>0.5705125182705455</c:v>
                </c:pt>
                <c:pt idx="61">
                  <c:v>1.5129027624838416</c:v>
                </c:pt>
                <c:pt idx="62">
                  <c:v>3.4682362097480302</c:v>
                </c:pt>
                <c:pt idx="63">
                  <c:v>0.25597269624573377</c:v>
                </c:pt>
                <c:pt idx="64">
                  <c:v>1.5855354659248957</c:v>
                </c:pt>
                <c:pt idx="65">
                  <c:v>2.2852133255406195</c:v>
                </c:pt>
                <c:pt idx="66">
                  <c:v>0.91318488866649983</c:v>
                </c:pt>
                <c:pt idx="67">
                  <c:v>0.72596426993245378</c:v>
                </c:pt>
                <c:pt idx="68">
                  <c:v>0.61322261258383903</c:v>
                </c:pt>
                <c:pt idx="69">
                  <c:v>2.4039700953854086</c:v>
                </c:pt>
                <c:pt idx="70">
                  <c:v>1.0912892896817616</c:v>
                </c:pt>
                <c:pt idx="71">
                  <c:v>2.7136681077485867</c:v>
                </c:pt>
                <c:pt idx="72">
                  <c:v>1.5673334708187256</c:v>
                </c:pt>
                <c:pt idx="73">
                  <c:v>2.1122298106033934</c:v>
                </c:pt>
                <c:pt idx="74">
                  <c:v>4.4546181236828719</c:v>
                </c:pt>
                <c:pt idx="75">
                  <c:v>6.3025210084033612</c:v>
                </c:pt>
                <c:pt idx="76">
                  <c:v>3.2671123246398639</c:v>
                </c:pt>
                <c:pt idx="77">
                  <c:v>0.73439412484700128</c:v>
                </c:pt>
                <c:pt idx="78">
                  <c:v>2.8005334349399886</c:v>
                </c:pt>
                <c:pt idx="79">
                  <c:v>4.562812102222658</c:v>
                </c:pt>
                <c:pt idx="80">
                  <c:v>1.9868906185989348</c:v>
                </c:pt>
                <c:pt idx="81">
                  <c:v>0.9391124871001032</c:v>
                </c:pt>
                <c:pt idx="82">
                  <c:v>2.7923784494086727</c:v>
                </c:pt>
                <c:pt idx="83">
                  <c:v>1.3926325247079965</c:v>
                </c:pt>
                <c:pt idx="84">
                  <c:v>2.3518769787426503</c:v>
                </c:pt>
                <c:pt idx="85">
                  <c:v>2.4956158100634021</c:v>
                </c:pt>
                <c:pt idx="86">
                  <c:v>4.4471478778048121</c:v>
                </c:pt>
                <c:pt idx="87">
                  <c:v>2.1525885558583107</c:v>
                </c:pt>
                <c:pt idx="88">
                  <c:v>0.82930200414651001</c:v>
                </c:pt>
                <c:pt idx="89">
                  <c:v>0.6815968841285297</c:v>
                </c:pt>
                <c:pt idx="90">
                  <c:v>0.6378454996456413</c:v>
                </c:pt>
                <c:pt idx="91">
                  <c:v>1.7718715393133997</c:v>
                </c:pt>
                <c:pt idx="92">
                  <c:v>2.5128865979381443</c:v>
                </c:pt>
                <c:pt idx="93">
                  <c:v>1.1464716347104171</c:v>
                </c:pt>
                <c:pt idx="94">
                  <c:v>2.8477770948576113</c:v>
                </c:pt>
                <c:pt idx="95">
                  <c:v>2.9508196721311477</c:v>
                </c:pt>
                <c:pt idx="96">
                  <c:v>1.2828875842574472</c:v>
                </c:pt>
                <c:pt idx="97">
                  <c:v>3.0755711775043935</c:v>
                </c:pt>
                <c:pt idx="98">
                  <c:v>0.94547053649956025</c:v>
                </c:pt>
                <c:pt idx="99">
                  <c:v>13.399280575539569</c:v>
                </c:pt>
                <c:pt idx="100">
                  <c:v>4.7788029335225923</c:v>
                </c:pt>
                <c:pt idx="101">
                  <c:v>1.313755795981453</c:v>
                </c:pt>
                <c:pt idx="102">
                  <c:v>2.7019650655021836</c:v>
                </c:pt>
                <c:pt idx="103">
                  <c:v>3.1404478045943587</c:v>
                </c:pt>
                <c:pt idx="104">
                  <c:v>0.44523597506678536</c:v>
                </c:pt>
                <c:pt idx="105">
                  <c:v>1.7591750075826509</c:v>
                </c:pt>
                <c:pt idx="106">
                  <c:v>1.6875</c:v>
                </c:pt>
                <c:pt idx="107">
                  <c:v>2.9098873591989989</c:v>
                </c:pt>
                <c:pt idx="108">
                  <c:v>1.6606968414197329</c:v>
                </c:pt>
                <c:pt idx="109">
                  <c:v>1.5554787417905289</c:v>
                </c:pt>
                <c:pt idx="110">
                  <c:v>2.2638839759462326</c:v>
                </c:pt>
                <c:pt idx="111">
                  <c:v>0.39215686274509803</c:v>
                </c:pt>
                <c:pt idx="112">
                  <c:v>1.3313609467455623</c:v>
                </c:pt>
                <c:pt idx="113">
                  <c:v>3.4360189573459716</c:v>
                </c:pt>
                <c:pt idx="114">
                  <c:v>4.9343414245921213</c:v>
                </c:pt>
                <c:pt idx="115">
                  <c:v>0.94501718213058417</c:v>
                </c:pt>
                <c:pt idx="116">
                  <c:v>1.468048359240069</c:v>
                </c:pt>
                <c:pt idx="117">
                  <c:v>1.9956616052060738</c:v>
                </c:pt>
                <c:pt idx="118">
                  <c:v>1.2838147638697845</c:v>
                </c:pt>
                <c:pt idx="119">
                  <c:v>5.5582175371346434</c:v>
                </c:pt>
                <c:pt idx="120">
                  <c:v>3.3923303834808261</c:v>
                </c:pt>
                <c:pt idx="121">
                  <c:v>3.96235760277365</c:v>
                </c:pt>
                <c:pt idx="122">
                  <c:v>1.3306038894575232</c:v>
                </c:pt>
                <c:pt idx="123">
                  <c:v>0.26609898882384247</c:v>
                </c:pt>
                <c:pt idx="124">
                  <c:v>0.53937432578209277</c:v>
                </c:pt>
                <c:pt idx="125">
                  <c:v>0.43407487791644062</c:v>
                </c:pt>
                <c:pt idx="126">
                  <c:v>3.7016264722378009</c:v>
                </c:pt>
                <c:pt idx="127">
                  <c:v>1.977401129943503</c:v>
                </c:pt>
                <c:pt idx="128">
                  <c:v>0.64667842445620227</c:v>
                </c:pt>
                <c:pt idx="129">
                  <c:v>28.562980484920164</c:v>
                </c:pt>
                <c:pt idx="130">
                  <c:v>1.4129736673089275</c:v>
                </c:pt>
                <c:pt idx="131">
                  <c:v>1.6183412002697235</c:v>
                </c:pt>
                <c:pt idx="132">
                  <c:v>3.4364261168384882</c:v>
                </c:pt>
                <c:pt idx="133">
                  <c:v>2.5430680885972108</c:v>
                </c:pt>
                <c:pt idx="134">
                  <c:v>2.9118136439267883</c:v>
                </c:pt>
                <c:pt idx="135">
                  <c:v>0.93537414965986398</c:v>
                </c:pt>
                <c:pt idx="136">
                  <c:v>6.1696658097686372</c:v>
                </c:pt>
                <c:pt idx="137">
                  <c:v>1.4072119613016711</c:v>
                </c:pt>
                <c:pt idx="138">
                  <c:v>6.0954063604240289</c:v>
                </c:pt>
                <c:pt idx="139">
                  <c:v>0.1773049645390071</c:v>
                </c:pt>
                <c:pt idx="140">
                  <c:v>4.8181818181818183</c:v>
                </c:pt>
                <c:pt idx="141">
                  <c:v>1.7924528301886793</c:v>
                </c:pt>
                <c:pt idx="142">
                  <c:v>4.3157894736842106</c:v>
                </c:pt>
                <c:pt idx="143">
                  <c:v>8.1344902386117131</c:v>
                </c:pt>
                <c:pt idx="144">
                  <c:v>5.7331863285556786</c:v>
                </c:pt>
                <c:pt idx="145">
                  <c:v>2.0594965675057209</c:v>
                </c:pt>
                <c:pt idx="146">
                  <c:v>1.6184971098265895</c:v>
                </c:pt>
                <c:pt idx="147">
                  <c:v>1.1723329425556859</c:v>
                </c:pt>
                <c:pt idx="148">
                  <c:v>0.2706359945872801</c:v>
                </c:pt>
                <c:pt idx="149">
                  <c:v>1.2838801711840229</c:v>
                </c:pt>
                <c:pt idx="150">
                  <c:v>6.0085836909871242</c:v>
                </c:pt>
                <c:pt idx="151">
                  <c:v>5.9347181008902083</c:v>
                </c:pt>
                <c:pt idx="152">
                  <c:v>4.1257367387033401</c:v>
                </c:pt>
                <c:pt idx="153">
                  <c:v>2.3762376237623761</c:v>
                </c:pt>
                <c:pt idx="154">
                  <c:v>1.5151515151515151</c:v>
                </c:pt>
                <c:pt idx="155">
                  <c:v>0</c:v>
                </c:pt>
                <c:pt idx="156">
                  <c:v>5.1413881748071981</c:v>
                </c:pt>
                <c:pt idx="157">
                  <c:v>2.8795811518324608</c:v>
                </c:pt>
                <c:pt idx="158">
                  <c:v>0.26455026455026454</c:v>
                </c:pt>
                <c:pt idx="159">
                  <c:v>1.977401129943503</c:v>
                </c:pt>
                <c:pt idx="160">
                  <c:v>1.7142857142857144</c:v>
                </c:pt>
                <c:pt idx="161">
                  <c:v>2.9069767441860463</c:v>
                </c:pt>
                <c:pt idx="162">
                  <c:v>2.4539877300613497</c:v>
                </c:pt>
                <c:pt idx="163">
                  <c:v>0</c:v>
                </c:pt>
                <c:pt idx="164">
                  <c:v>0</c:v>
                </c:pt>
                <c:pt idx="165">
                  <c:v>0</c:v>
                </c:pt>
                <c:pt idx="166">
                  <c:v>5.4054054054054053</c:v>
                </c:pt>
                <c:pt idx="167">
                  <c:v>2.1276595744680851</c:v>
                </c:pt>
                <c:pt idx="168">
                  <c:v>3.4482758620689653</c:v>
                </c:pt>
                <c:pt idx="169">
                  <c:v>0</c:v>
                </c:pt>
                <c:pt idx="170">
                  <c:v>6.3636363636363633</c:v>
                </c:pt>
                <c:pt idx="171">
                  <c:v>0</c:v>
                </c:pt>
                <c:pt idx="172">
                  <c:v>3.4883720930232558</c:v>
                </c:pt>
                <c:pt idx="173">
                  <c:v>1.1627906976744187</c:v>
                </c:pt>
                <c:pt idx="174">
                  <c:v>0</c:v>
                </c:pt>
                <c:pt idx="175">
                  <c:v>0</c:v>
                </c:pt>
                <c:pt idx="176">
                  <c:v>4.1666666666666661</c:v>
                </c:pt>
                <c:pt idx="177">
                  <c:v>0</c:v>
                </c:pt>
                <c:pt idx="178">
                  <c:v>0</c:v>
                </c:pt>
                <c:pt idx="179">
                  <c:v>0</c:v>
                </c:pt>
                <c:pt idx="180">
                  <c:v>0</c:v>
                </c:pt>
                <c:pt idx="181">
                  <c:v>0</c:v>
                </c:pt>
                <c:pt idx="182">
                  <c:v>0</c:v>
                </c:pt>
                <c:pt idx="183">
                  <c:v>0</c:v>
                </c:pt>
                <c:pt idx="184">
                  <c:v>0</c:v>
                </c:pt>
                <c:pt idx="185">
                  <c:v>0</c:v>
                </c:pt>
                <c:pt idx="186">
                  <c:v>10</c:v>
                </c:pt>
              </c:numCache>
            </c:numRef>
          </c:val>
          <c:extLst>
            <c:ext xmlns:c16="http://schemas.microsoft.com/office/drawing/2014/chart" uri="{C3380CC4-5D6E-409C-BE32-E72D297353CC}">
              <c16:uniqueId val="{00000000-D5FD-4FBC-A5A1-485FB5898BC2}"/>
            </c:ext>
          </c:extLst>
        </c:ser>
        <c:dLbls>
          <c:showLegendKey val="0"/>
          <c:showVal val="0"/>
          <c:showCatName val="0"/>
          <c:showSerName val="0"/>
          <c:showPercent val="0"/>
          <c:showBubbleSize val="0"/>
        </c:dLbls>
        <c:gapWidth val="150"/>
        <c:shape val="box"/>
        <c:axId val="1157313807"/>
        <c:axId val="1157315247"/>
        <c:axId val="0"/>
      </c:bar3DChart>
      <c:catAx>
        <c:axId val="115731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15247"/>
        <c:crosses val="autoZero"/>
        <c:auto val="1"/>
        <c:lblAlgn val="ctr"/>
        <c:lblOffset val="100"/>
        <c:noMultiLvlLbl val="0"/>
      </c:catAx>
      <c:valAx>
        <c:axId val="1157315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1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Active</a:t>
            </a:r>
            <a:r>
              <a:rPr lang="en-IN" b="1" baseline="0"/>
              <a:t> Cases vs Recovery Rate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'Covid Data'!$D$1</c:f>
              <c:strCache>
                <c:ptCount val="1"/>
                <c:pt idx="0">
                  <c:v>Recovered</c:v>
                </c:pt>
              </c:strCache>
            </c:strRef>
          </c:tx>
          <c:spPr>
            <a:solidFill>
              <a:schemeClr val="accent1"/>
            </a:solidFill>
            <a:ln>
              <a:noFill/>
            </a:ln>
            <a:effectLst/>
          </c:spPr>
          <c:invertIfNegative val="0"/>
          <c:cat>
            <c:strRef>
              <c:f>'Covid Data'!$A$2:$A$189</c:f>
              <c:strCache>
                <c:ptCount val="187"/>
                <c:pt idx="0">
                  <c:v>US</c:v>
                </c:pt>
                <c:pt idx="1">
                  <c:v>Brazil</c:v>
                </c:pt>
                <c:pt idx="2">
                  <c:v>India</c:v>
                </c:pt>
                <c:pt idx="3">
                  <c:v>Russia</c:v>
                </c:pt>
                <c:pt idx="4">
                  <c:v>South Africa</c:v>
                </c:pt>
                <c:pt idx="5">
                  <c:v>Mexico</c:v>
                </c:pt>
                <c:pt idx="6">
                  <c:v>Peru</c:v>
                </c:pt>
                <c:pt idx="7">
                  <c:v>Chile</c:v>
                </c:pt>
                <c:pt idx="8">
                  <c:v>United Kingdom</c:v>
                </c:pt>
                <c:pt idx="9">
                  <c:v>Iran</c:v>
                </c:pt>
                <c:pt idx="10">
                  <c:v>Pakistan</c:v>
                </c:pt>
                <c:pt idx="11">
                  <c:v>Spain</c:v>
                </c:pt>
                <c:pt idx="12">
                  <c:v>Saudi Arabia</c:v>
                </c:pt>
                <c:pt idx="13">
                  <c:v>Colombia</c:v>
                </c:pt>
                <c:pt idx="14">
                  <c:v>Italy</c:v>
                </c:pt>
                <c:pt idx="15">
                  <c:v>Turkey</c:v>
                </c:pt>
                <c:pt idx="16">
                  <c:v>Bangladesh</c:v>
                </c:pt>
                <c:pt idx="17">
                  <c:v>France</c:v>
                </c:pt>
                <c:pt idx="18">
                  <c:v>Germany</c:v>
                </c:pt>
                <c:pt idx="19">
                  <c:v>Argentina</c:v>
                </c:pt>
                <c:pt idx="20">
                  <c:v>Canada</c:v>
                </c:pt>
                <c:pt idx="21">
                  <c:v>Iraq</c:v>
                </c:pt>
                <c:pt idx="22">
                  <c:v>Qatar</c:v>
                </c:pt>
                <c:pt idx="23">
                  <c:v>Indonesia</c:v>
                </c:pt>
                <c:pt idx="24">
                  <c:v>Egypt</c:v>
                </c:pt>
                <c:pt idx="25">
                  <c:v>China</c:v>
                </c:pt>
                <c:pt idx="26">
                  <c:v>Kazakhstan</c:v>
                </c:pt>
                <c:pt idx="27">
                  <c:v>Philippines</c:v>
                </c:pt>
                <c:pt idx="28">
                  <c:v>Ecuador</c:v>
                </c:pt>
                <c:pt idx="29">
                  <c:v>Sweden</c:v>
                </c:pt>
                <c:pt idx="30">
                  <c:v>Oman</c:v>
                </c:pt>
                <c:pt idx="31">
                  <c:v>Bolivia</c:v>
                </c:pt>
                <c:pt idx="32">
                  <c:v>Belarus</c:v>
                </c:pt>
                <c:pt idx="33">
                  <c:v>Ukraine</c:v>
                </c:pt>
                <c:pt idx="34">
                  <c:v>Belgium</c:v>
                </c:pt>
                <c:pt idx="35">
                  <c:v>Kuwait</c:v>
                </c:pt>
                <c:pt idx="36">
                  <c:v>Dominican Republic</c:v>
                </c:pt>
                <c:pt idx="37">
                  <c:v>Israel</c:v>
                </c:pt>
                <c:pt idx="38">
                  <c:v>Panama</c:v>
                </c:pt>
                <c:pt idx="39">
                  <c:v>United Arab Emirates</c:v>
                </c:pt>
                <c:pt idx="40">
                  <c:v>Netherlands</c:v>
                </c:pt>
                <c:pt idx="41">
                  <c:v>Singapore</c:v>
                </c:pt>
                <c:pt idx="42">
                  <c:v>Portugal</c:v>
                </c:pt>
                <c:pt idx="43">
                  <c:v>Romania</c:v>
                </c:pt>
                <c:pt idx="44">
                  <c:v>Guatemala</c:v>
                </c:pt>
                <c:pt idx="45">
                  <c:v>Poland</c:v>
                </c:pt>
                <c:pt idx="46">
                  <c:v>Nigeria</c:v>
                </c:pt>
                <c:pt idx="47">
                  <c:v>Honduras</c:v>
                </c:pt>
                <c:pt idx="48">
                  <c:v>Bahrain</c:v>
                </c:pt>
                <c:pt idx="49">
                  <c:v>Armenia</c:v>
                </c:pt>
                <c:pt idx="50">
                  <c:v>Afghanistan</c:v>
                </c:pt>
                <c:pt idx="51">
                  <c:v>Switzerland</c:v>
                </c:pt>
                <c:pt idx="52">
                  <c:v>Ghana</c:v>
                </c:pt>
                <c:pt idx="53">
                  <c:v>Kyrgyzstan</c:v>
                </c:pt>
                <c:pt idx="54">
                  <c:v>Japan</c:v>
                </c:pt>
                <c:pt idx="55">
                  <c:v>Azerbaijan</c:v>
                </c:pt>
                <c:pt idx="56">
                  <c:v>Algeria</c:v>
                </c:pt>
                <c:pt idx="57">
                  <c:v>Ireland</c:v>
                </c:pt>
                <c:pt idx="58">
                  <c:v>Serbia</c:v>
                </c:pt>
                <c:pt idx="59">
                  <c:v>Moldova</c:v>
                </c:pt>
                <c:pt idx="60">
                  <c:v>Uzbekistan</c:v>
                </c:pt>
                <c:pt idx="61">
                  <c:v>Morocco</c:v>
                </c:pt>
                <c:pt idx="62">
                  <c:v>Austria</c:v>
                </c:pt>
                <c:pt idx="63">
                  <c:v>Nepal</c:v>
                </c:pt>
                <c:pt idx="64">
                  <c:v>Kenya</c:v>
                </c:pt>
                <c:pt idx="65">
                  <c:v>Cameroon</c:v>
                </c:pt>
                <c:pt idx="66">
                  <c:v>Venezuela</c:v>
                </c:pt>
                <c:pt idx="67">
                  <c:v>Costa Rica</c:v>
                </c:pt>
                <c:pt idx="68">
                  <c:v>Cote d'Ivoire</c:v>
                </c:pt>
                <c:pt idx="69">
                  <c:v>Czechia</c:v>
                </c:pt>
                <c:pt idx="70">
                  <c:v>Australia</c:v>
                </c:pt>
                <c:pt idx="71">
                  <c:v>El Salvador</c:v>
                </c:pt>
                <c:pt idx="72">
                  <c:v>Ethiopia</c:v>
                </c:pt>
                <c:pt idx="73">
                  <c:v>South Korea</c:v>
                </c:pt>
                <c:pt idx="74">
                  <c:v>Denmark</c:v>
                </c:pt>
                <c:pt idx="75">
                  <c:v>Sudan</c:v>
                </c:pt>
                <c:pt idx="76">
                  <c:v>Bulgaria</c:v>
                </c:pt>
                <c:pt idx="77">
                  <c:v>West Bank and Gaza</c:v>
                </c:pt>
                <c:pt idx="78">
                  <c:v>Bosnia and Herzegovina</c:v>
                </c:pt>
                <c:pt idx="79">
                  <c:v>North Macedonia</c:v>
                </c:pt>
                <c:pt idx="80">
                  <c:v>Senegal</c:v>
                </c:pt>
                <c:pt idx="81">
                  <c:v>Madagascar</c:v>
                </c:pt>
                <c:pt idx="82">
                  <c:v>Norway</c:v>
                </c:pt>
                <c:pt idx="83">
                  <c:v>Malaysia</c:v>
                </c:pt>
                <c:pt idx="84">
                  <c:v>Congo (Kinshasa)</c:v>
                </c:pt>
                <c:pt idx="85">
                  <c:v>Kosovo</c:v>
                </c:pt>
                <c:pt idx="86">
                  <c:v>Finland</c:v>
                </c:pt>
                <c:pt idx="87">
                  <c:v>Haiti</c:v>
                </c:pt>
                <c:pt idx="88">
                  <c:v>Tajikistan</c:v>
                </c:pt>
                <c:pt idx="89">
                  <c:v>Gabon</c:v>
                </c:pt>
                <c:pt idx="90">
                  <c:v>Guinea</c:v>
                </c:pt>
                <c:pt idx="91">
                  <c:v>Luxembourg</c:v>
                </c:pt>
                <c:pt idx="92">
                  <c:v>Mauritania</c:v>
                </c:pt>
                <c:pt idx="93">
                  <c:v>Djibouti</c:v>
                </c:pt>
                <c:pt idx="94">
                  <c:v>Croatia</c:v>
                </c:pt>
                <c:pt idx="95">
                  <c:v>Albania</c:v>
                </c:pt>
                <c:pt idx="96">
                  <c:v>Central African Republic</c:v>
                </c:pt>
                <c:pt idx="97">
                  <c:v>Zambia</c:v>
                </c:pt>
                <c:pt idx="98">
                  <c:v>Paraguay</c:v>
                </c:pt>
                <c:pt idx="99">
                  <c:v>Hungary</c:v>
                </c:pt>
                <c:pt idx="100">
                  <c:v>Greece</c:v>
                </c:pt>
                <c:pt idx="101">
                  <c:v>Lebanon</c:v>
                </c:pt>
                <c:pt idx="102">
                  <c:v>Malawi</c:v>
                </c:pt>
                <c:pt idx="103">
                  <c:v>Nicaragua</c:v>
                </c:pt>
                <c:pt idx="104">
                  <c:v>Maldives</c:v>
                </c:pt>
                <c:pt idx="105">
                  <c:v>Thailand</c:v>
                </c:pt>
                <c:pt idx="106">
                  <c:v>Congo (Brazzaville)</c:v>
                </c:pt>
                <c:pt idx="107">
                  <c:v>Somalia</c:v>
                </c:pt>
                <c:pt idx="108">
                  <c:v>Equatorial Guinea</c:v>
                </c:pt>
                <c:pt idx="109">
                  <c:v>Montenegro</c:v>
                </c:pt>
                <c:pt idx="110">
                  <c:v>Libya</c:v>
                </c:pt>
                <c:pt idx="111">
                  <c:v>Sri Lanka</c:v>
                </c:pt>
                <c:pt idx="112">
                  <c:v>Zimbabwe</c:v>
                </c:pt>
                <c:pt idx="113">
                  <c:v>Cuba</c:v>
                </c:pt>
                <c:pt idx="114">
                  <c:v>Mali</c:v>
                </c:pt>
                <c:pt idx="115">
                  <c:v>Cabo Verde</c:v>
                </c:pt>
                <c:pt idx="116">
                  <c:v>Eswatini</c:v>
                </c:pt>
                <c:pt idx="117">
                  <c:v>South Sudan</c:v>
                </c:pt>
                <c:pt idx="118">
                  <c:v>Slovakia</c:v>
                </c:pt>
                <c:pt idx="119">
                  <c:v>Slovenia</c:v>
                </c:pt>
                <c:pt idx="120">
                  <c:v>Estonia</c:v>
                </c:pt>
                <c:pt idx="121">
                  <c:v>Lithuania</c:v>
                </c:pt>
                <c:pt idx="122">
                  <c:v>Guinea-Bissau</c:v>
                </c:pt>
                <c:pt idx="123">
                  <c:v>Rwanda</c:v>
                </c:pt>
                <c:pt idx="124">
                  <c:v>Iceland</c:v>
                </c:pt>
                <c:pt idx="125">
                  <c:v>Namibia</c:v>
                </c:pt>
                <c:pt idx="126">
                  <c:v>Sierra Leone</c:v>
                </c:pt>
                <c:pt idx="127">
                  <c:v>Benin</c:v>
                </c:pt>
                <c:pt idx="128">
                  <c:v>Mozambique</c:v>
                </c:pt>
                <c:pt idx="129">
                  <c:v>Yemen</c:v>
                </c:pt>
                <c:pt idx="130">
                  <c:v>New Zealand</c:v>
                </c:pt>
                <c:pt idx="131">
                  <c:v>Suriname</c:v>
                </c:pt>
                <c:pt idx="132">
                  <c:v>Tunisia</c:v>
                </c:pt>
                <c:pt idx="133">
                  <c:v>Latvia</c:v>
                </c:pt>
                <c:pt idx="134">
                  <c:v>Uruguay</c:v>
                </c:pt>
                <c:pt idx="135">
                  <c:v>Jordan</c:v>
                </c:pt>
                <c:pt idx="136">
                  <c:v>Liberia</c:v>
                </c:pt>
                <c:pt idx="137">
                  <c:v>Georgia</c:v>
                </c:pt>
                <c:pt idx="138">
                  <c:v>Niger</c:v>
                </c:pt>
                <c:pt idx="139">
                  <c:v>Uganda</c:v>
                </c:pt>
                <c:pt idx="140">
                  <c:v>Burkina Faso</c:v>
                </c:pt>
                <c:pt idx="141">
                  <c:v>Cyprus</c:v>
                </c:pt>
                <c:pt idx="142">
                  <c:v>Angola</c:v>
                </c:pt>
                <c:pt idx="143">
                  <c:v>Chad</c:v>
                </c:pt>
                <c:pt idx="144">
                  <c:v>Andorra</c:v>
                </c:pt>
                <c:pt idx="145">
                  <c:v>Togo</c:v>
                </c:pt>
                <c:pt idx="146">
                  <c:v>Sao Tome and Principe</c:v>
                </c:pt>
                <c:pt idx="147">
                  <c:v>Jamaica</c:v>
                </c:pt>
                <c:pt idx="148">
                  <c:v>Botswana</c:v>
                </c:pt>
                <c:pt idx="149">
                  <c:v>Malta</c:v>
                </c:pt>
                <c:pt idx="150">
                  <c:v>San Marino</c:v>
                </c:pt>
                <c:pt idx="151">
                  <c:v>Syria</c:v>
                </c:pt>
                <c:pt idx="152">
                  <c:v>Tanzania</c:v>
                </c:pt>
                <c:pt idx="153">
                  <c:v>Lesotho</c:v>
                </c:pt>
                <c:pt idx="154">
                  <c:v>Taiwan*</c:v>
                </c:pt>
                <c:pt idx="155">
                  <c:v>Vietnam</c:v>
                </c:pt>
                <c:pt idx="156">
                  <c:v>Guyana</c:v>
                </c:pt>
                <c:pt idx="157">
                  <c:v>Bahamas</c:v>
                </c:pt>
                <c:pt idx="158">
                  <c:v>Burundi</c:v>
                </c:pt>
                <c:pt idx="159">
                  <c:v>Comoros</c:v>
                </c:pt>
                <c:pt idx="160">
                  <c:v>Burma</c:v>
                </c:pt>
                <c:pt idx="161">
                  <c:v>Mauritius</c:v>
                </c:pt>
                <c:pt idx="162">
                  <c:v>Gambia</c:v>
                </c:pt>
                <c:pt idx="163">
                  <c:v>Mongolia</c:v>
                </c:pt>
                <c:pt idx="164">
                  <c:v>Eritrea</c:v>
                </c:pt>
                <c:pt idx="165">
                  <c:v>Cambodia</c:v>
                </c:pt>
                <c:pt idx="166">
                  <c:v>Trinidad and Tobago</c:v>
                </c:pt>
                <c:pt idx="167">
                  <c:v>Brunei</c:v>
                </c:pt>
                <c:pt idx="168">
                  <c:v>Monaco</c:v>
                </c:pt>
                <c:pt idx="169">
                  <c:v>Seychelles</c:v>
                </c:pt>
                <c:pt idx="170">
                  <c:v>Barbados</c:v>
                </c:pt>
                <c:pt idx="171">
                  <c:v>Bhutan</c:v>
                </c:pt>
                <c:pt idx="172">
                  <c:v>Antigua and Barbuda</c:v>
                </c:pt>
                <c:pt idx="173">
                  <c:v>Liechtenstein</c:v>
                </c:pt>
                <c:pt idx="174">
                  <c:v>Papua New Guinea</c:v>
                </c:pt>
                <c:pt idx="175">
                  <c:v>Saint Vincent and the Grenadines</c:v>
                </c:pt>
                <c:pt idx="176">
                  <c:v>Belize</c:v>
                </c:pt>
                <c:pt idx="177">
                  <c:v>Fiji</c:v>
                </c:pt>
                <c:pt idx="178">
                  <c:v>Saint Lucia</c:v>
                </c:pt>
                <c:pt idx="179">
                  <c:v>Timor-Leste</c:v>
                </c:pt>
                <c:pt idx="180">
                  <c:v>Grenada</c:v>
                </c:pt>
                <c:pt idx="181">
                  <c:v>Laos</c:v>
                </c:pt>
                <c:pt idx="182">
                  <c:v>Dominica</c:v>
                </c:pt>
                <c:pt idx="183">
                  <c:v>Saint Kitts and Nevis</c:v>
                </c:pt>
                <c:pt idx="184">
                  <c:v>Greenland</c:v>
                </c:pt>
                <c:pt idx="185">
                  <c:v>Holy See</c:v>
                </c:pt>
                <c:pt idx="186">
                  <c:v>Western Sahara</c:v>
                </c:pt>
              </c:strCache>
            </c:strRef>
          </c:cat>
          <c:val>
            <c:numRef>
              <c:f>'Covid Data'!$D$2:$D$189</c:f>
              <c:numCache>
                <c:formatCode>General</c:formatCode>
                <c:ptCount val="188"/>
                <c:pt idx="0">
                  <c:v>1325804</c:v>
                </c:pt>
                <c:pt idx="1">
                  <c:v>1846641</c:v>
                </c:pt>
                <c:pt idx="2">
                  <c:v>951166</c:v>
                </c:pt>
                <c:pt idx="3">
                  <c:v>602249</c:v>
                </c:pt>
                <c:pt idx="4">
                  <c:v>274925</c:v>
                </c:pt>
                <c:pt idx="5">
                  <c:v>303810</c:v>
                </c:pt>
                <c:pt idx="6">
                  <c:v>272547</c:v>
                </c:pt>
                <c:pt idx="7">
                  <c:v>319954</c:v>
                </c:pt>
                <c:pt idx="8">
                  <c:v>1437</c:v>
                </c:pt>
                <c:pt idx="9">
                  <c:v>255144</c:v>
                </c:pt>
                <c:pt idx="10">
                  <c:v>241026</c:v>
                </c:pt>
                <c:pt idx="11">
                  <c:v>150376</c:v>
                </c:pt>
                <c:pt idx="12">
                  <c:v>222936</c:v>
                </c:pt>
                <c:pt idx="13">
                  <c:v>131161</c:v>
                </c:pt>
                <c:pt idx="14">
                  <c:v>198593</c:v>
                </c:pt>
                <c:pt idx="15">
                  <c:v>210469</c:v>
                </c:pt>
                <c:pt idx="16">
                  <c:v>125683</c:v>
                </c:pt>
                <c:pt idx="17">
                  <c:v>81212</c:v>
                </c:pt>
                <c:pt idx="18">
                  <c:v>190314</c:v>
                </c:pt>
                <c:pt idx="19">
                  <c:v>72575</c:v>
                </c:pt>
                <c:pt idx="20">
                  <c:v>0</c:v>
                </c:pt>
                <c:pt idx="21">
                  <c:v>77144</c:v>
                </c:pt>
                <c:pt idx="22">
                  <c:v>106328</c:v>
                </c:pt>
                <c:pt idx="23">
                  <c:v>58173</c:v>
                </c:pt>
                <c:pt idx="24">
                  <c:v>34838</c:v>
                </c:pt>
                <c:pt idx="25">
                  <c:v>78869</c:v>
                </c:pt>
                <c:pt idx="26">
                  <c:v>54404</c:v>
                </c:pt>
                <c:pt idx="27">
                  <c:v>26446</c:v>
                </c:pt>
                <c:pt idx="28">
                  <c:v>34896</c:v>
                </c:pt>
                <c:pt idx="29">
                  <c:v>0</c:v>
                </c:pt>
                <c:pt idx="30">
                  <c:v>57028</c:v>
                </c:pt>
                <c:pt idx="31">
                  <c:v>21478</c:v>
                </c:pt>
                <c:pt idx="32">
                  <c:v>60492</c:v>
                </c:pt>
                <c:pt idx="33">
                  <c:v>37202</c:v>
                </c:pt>
                <c:pt idx="34">
                  <c:v>17452</c:v>
                </c:pt>
                <c:pt idx="35">
                  <c:v>55057</c:v>
                </c:pt>
                <c:pt idx="36">
                  <c:v>30204</c:v>
                </c:pt>
                <c:pt idx="37">
                  <c:v>27133</c:v>
                </c:pt>
                <c:pt idx="38">
                  <c:v>35086</c:v>
                </c:pt>
                <c:pt idx="39">
                  <c:v>52510</c:v>
                </c:pt>
                <c:pt idx="40">
                  <c:v>189</c:v>
                </c:pt>
                <c:pt idx="41">
                  <c:v>45692</c:v>
                </c:pt>
                <c:pt idx="42">
                  <c:v>35375</c:v>
                </c:pt>
                <c:pt idx="43">
                  <c:v>25794</c:v>
                </c:pt>
                <c:pt idx="44">
                  <c:v>32455</c:v>
                </c:pt>
                <c:pt idx="45">
                  <c:v>32856</c:v>
                </c:pt>
                <c:pt idx="46">
                  <c:v>18203</c:v>
                </c:pt>
                <c:pt idx="47">
                  <c:v>5039</c:v>
                </c:pt>
                <c:pt idx="48">
                  <c:v>36110</c:v>
                </c:pt>
                <c:pt idx="49">
                  <c:v>26665</c:v>
                </c:pt>
                <c:pt idx="50">
                  <c:v>25198</c:v>
                </c:pt>
                <c:pt idx="51">
                  <c:v>30900</c:v>
                </c:pt>
                <c:pt idx="52">
                  <c:v>29801</c:v>
                </c:pt>
                <c:pt idx="53">
                  <c:v>21205</c:v>
                </c:pt>
                <c:pt idx="54">
                  <c:v>21970</c:v>
                </c:pt>
                <c:pt idx="55">
                  <c:v>23242</c:v>
                </c:pt>
                <c:pt idx="56">
                  <c:v>18837</c:v>
                </c:pt>
                <c:pt idx="57">
                  <c:v>23364</c:v>
                </c:pt>
                <c:pt idx="58">
                  <c:v>0</c:v>
                </c:pt>
                <c:pt idx="59">
                  <c:v>16154</c:v>
                </c:pt>
                <c:pt idx="60">
                  <c:v>11674</c:v>
                </c:pt>
                <c:pt idx="61">
                  <c:v>16553</c:v>
                </c:pt>
                <c:pt idx="62">
                  <c:v>18246</c:v>
                </c:pt>
                <c:pt idx="63">
                  <c:v>13754</c:v>
                </c:pt>
                <c:pt idx="64">
                  <c:v>7833</c:v>
                </c:pt>
                <c:pt idx="65">
                  <c:v>14539</c:v>
                </c:pt>
                <c:pt idx="66">
                  <c:v>9959</c:v>
                </c:pt>
                <c:pt idx="67">
                  <c:v>3824</c:v>
                </c:pt>
                <c:pt idx="68">
                  <c:v>10361</c:v>
                </c:pt>
                <c:pt idx="69">
                  <c:v>11428</c:v>
                </c:pt>
                <c:pt idx="70">
                  <c:v>9311</c:v>
                </c:pt>
                <c:pt idx="71">
                  <c:v>7778</c:v>
                </c:pt>
                <c:pt idx="72">
                  <c:v>6386</c:v>
                </c:pt>
                <c:pt idx="73">
                  <c:v>13007</c:v>
                </c:pt>
                <c:pt idx="74">
                  <c:v>12605</c:v>
                </c:pt>
                <c:pt idx="75">
                  <c:v>5939</c:v>
                </c:pt>
                <c:pt idx="76">
                  <c:v>5585</c:v>
                </c:pt>
                <c:pt idx="77">
                  <c:v>3752</c:v>
                </c:pt>
                <c:pt idx="78">
                  <c:v>4930</c:v>
                </c:pt>
                <c:pt idx="79">
                  <c:v>5564</c:v>
                </c:pt>
                <c:pt idx="80">
                  <c:v>6477</c:v>
                </c:pt>
                <c:pt idx="81">
                  <c:v>6260</c:v>
                </c:pt>
                <c:pt idx="82">
                  <c:v>8752</c:v>
                </c:pt>
                <c:pt idx="83">
                  <c:v>8601</c:v>
                </c:pt>
                <c:pt idx="84">
                  <c:v>5700</c:v>
                </c:pt>
                <c:pt idx="85">
                  <c:v>4027</c:v>
                </c:pt>
                <c:pt idx="86">
                  <c:v>6920</c:v>
                </c:pt>
                <c:pt idx="87">
                  <c:v>4365</c:v>
                </c:pt>
                <c:pt idx="88">
                  <c:v>6028</c:v>
                </c:pt>
                <c:pt idx="89">
                  <c:v>4682</c:v>
                </c:pt>
                <c:pt idx="90">
                  <c:v>6257</c:v>
                </c:pt>
                <c:pt idx="91">
                  <c:v>4825</c:v>
                </c:pt>
                <c:pt idx="92">
                  <c:v>4653</c:v>
                </c:pt>
                <c:pt idx="93">
                  <c:v>4977</c:v>
                </c:pt>
                <c:pt idx="94">
                  <c:v>3936</c:v>
                </c:pt>
                <c:pt idx="95">
                  <c:v>2745</c:v>
                </c:pt>
                <c:pt idx="96">
                  <c:v>1546</c:v>
                </c:pt>
                <c:pt idx="97">
                  <c:v>2815</c:v>
                </c:pt>
                <c:pt idx="98">
                  <c:v>2905</c:v>
                </c:pt>
                <c:pt idx="99">
                  <c:v>3329</c:v>
                </c:pt>
                <c:pt idx="100">
                  <c:v>1374</c:v>
                </c:pt>
                <c:pt idx="101">
                  <c:v>1709</c:v>
                </c:pt>
                <c:pt idx="102">
                  <c:v>1645</c:v>
                </c:pt>
                <c:pt idx="103">
                  <c:v>2492</c:v>
                </c:pt>
                <c:pt idx="104">
                  <c:v>2547</c:v>
                </c:pt>
                <c:pt idx="105">
                  <c:v>3111</c:v>
                </c:pt>
                <c:pt idx="106">
                  <c:v>829</c:v>
                </c:pt>
                <c:pt idx="107">
                  <c:v>1543</c:v>
                </c:pt>
                <c:pt idx="108">
                  <c:v>842</c:v>
                </c:pt>
                <c:pt idx="109">
                  <c:v>809</c:v>
                </c:pt>
                <c:pt idx="110">
                  <c:v>577</c:v>
                </c:pt>
                <c:pt idx="111">
                  <c:v>2121</c:v>
                </c:pt>
                <c:pt idx="112">
                  <c:v>542</c:v>
                </c:pt>
                <c:pt idx="113">
                  <c:v>2351</c:v>
                </c:pt>
                <c:pt idx="114">
                  <c:v>1913</c:v>
                </c:pt>
                <c:pt idx="115">
                  <c:v>1550</c:v>
                </c:pt>
                <c:pt idx="116">
                  <c:v>1025</c:v>
                </c:pt>
                <c:pt idx="117">
                  <c:v>1175</c:v>
                </c:pt>
                <c:pt idx="118">
                  <c:v>1616</c:v>
                </c:pt>
                <c:pt idx="119">
                  <c:v>1733</c:v>
                </c:pt>
                <c:pt idx="120">
                  <c:v>1923</c:v>
                </c:pt>
                <c:pt idx="121">
                  <c:v>1620</c:v>
                </c:pt>
                <c:pt idx="122">
                  <c:v>803</c:v>
                </c:pt>
                <c:pt idx="123">
                  <c:v>975</c:v>
                </c:pt>
                <c:pt idx="124">
                  <c:v>1823</c:v>
                </c:pt>
                <c:pt idx="125">
                  <c:v>101</c:v>
                </c:pt>
                <c:pt idx="126">
                  <c:v>1317</c:v>
                </c:pt>
                <c:pt idx="127">
                  <c:v>1036</c:v>
                </c:pt>
                <c:pt idx="128">
                  <c:v>0</c:v>
                </c:pt>
                <c:pt idx="129">
                  <c:v>833</c:v>
                </c:pt>
                <c:pt idx="130">
                  <c:v>1514</c:v>
                </c:pt>
                <c:pt idx="131">
                  <c:v>925</c:v>
                </c:pt>
                <c:pt idx="132">
                  <c:v>1157</c:v>
                </c:pt>
                <c:pt idx="133">
                  <c:v>1045</c:v>
                </c:pt>
                <c:pt idx="134">
                  <c:v>951</c:v>
                </c:pt>
                <c:pt idx="135">
                  <c:v>1041</c:v>
                </c:pt>
                <c:pt idx="136">
                  <c:v>646</c:v>
                </c:pt>
                <c:pt idx="137">
                  <c:v>922</c:v>
                </c:pt>
                <c:pt idx="138">
                  <c:v>1027</c:v>
                </c:pt>
                <c:pt idx="139">
                  <c:v>986</c:v>
                </c:pt>
                <c:pt idx="140">
                  <c:v>926</c:v>
                </c:pt>
                <c:pt idx="141">
                  <c:v>852</c:v>
                </c:pt>
                <c:pt idx="142">
                  <c:v>242</c:v>
                </c:pt>
                <c:pt idx="143">
                  <c:v>810</c:v>
                </c:pt>
                <c:pt idx="144">
                  <c:v>803</c:v>
                </c:pt>
                <c:pt idx="145">
                  <c:v>607</c:v>
                </c:pt>
                <c:pt idx="146">
                  <c:v>734</c:v>
                </c:pt>
                <c:pt idx="147">
                  <c:v>714</c:v>
                </c:pt>
                <c:pt idx="148">
                  <c:v>63</c:v>
                </c:pt>
                <c:pt idx="149">
                  <c:v>665</c:v>
                </c:pt>
                <c:pt idx="150">
                  <c:v>657</c:v>
                </c:pt>
                <c:pt idx="151">
                  <c:v>0</c:v>
                </c:pt>
                <c:pt idx="152">
                  <c:v>183</c:v>
                </c:pt>
                <c:pt idx="153">
                  <c:v>128</c:v>
                </c:pt>
                <c:pt idx="154">
                  <c:v>440</c:v>
                </c:pt>
                <c:pt idx="155">
                  <c:v>365</c:v>
                </c:pt>
                <c:pt idx="156">
                  <c:v>181</c:v>
                </c:pt>
                <c:pt idx="157">
                  <c:v>91</c:v>
                </c:pt>
                <c:pt idx="158">
                  <c:v>301</c:v>
                </c:pt>
                <c:pt idx="159">
                  <c:v>328</c:v>
                </c:pt>
                <c:pt idx="160">
                  <c:v>292</c:v>
                </c:pt>
                <c:pt idx="161">
                  <c:v>332</c:v>
                </c:pt>
                <c:pt idx="162">
                  <c:v>66</c:v>
                </c:pt>
                <c:pt idx="163">
                  <c:v>222</c:v>
                </c:pt>
                <c:pt idx="164">
                  <c:v>191</c:v>
                </c:pt>
                <c:pt idx="165">
                  <c:v>147</c:v>
                </c:pt>
                <c:pt idx="166">
                  <c:v>128</c:v>
                </c:pt>
                <c:pt idx="167">
                  <c:v>138</c:v>
                </c:pt>
                <c:pt idx="168">
                  <c:v>104</c:v>
                </c:pt>
                <c:pt idx="169">
                  <c:v>39</c:v>
                </c:pt>
                <c:pt idx="170">
                  <c:v>94</c:v>
                </c:pt>
                <c:pt idx="171">
                  <c:v>86</c:v>
                </c:pt>
                <c:pt idx="172">
                  <c:v>65</c:v>
                </c:pt>
                <c:pt idx="173">
                  <c:v>81</c:v>
                </c:pt>
                <c:pt idx="174">
                  <c:v>11</c:v>
                </c:pt>
                <c:pt idx="175">
                  <c:v>39</c:v>
                </c:pt>
                <c:pt idx="176">
                  <c:v>26</c:v>
                </c:pt>
                <c:pt idx="177">
                  <c:v>18</c:v>
                </c:pt>
                <c:pt idx="178">
                  <c:v>22</c:v>
                </c:pt>
                <c:pt idx="179">
                  <c:v>0</c:v>
                </c:pt>
                <c:pt idx="180">
                  <c:v>23</c:v>
                </c:pt>
                <c:pt idx="181">
                  <c:v>19</c:v>
                </c:pt>
                <c:pt idx="182">
                  <c:v>18</c:v>
                </c:pt>
                <c:pt idx="183">
                  <c:v>15</c:v>
                </c:pt>
                <c:pt idx="184">
                  <c:v>13</c:v>
                </c:pt>
                <c:pt idx="185">
                  <c:v>12</c:v>
                </c:pt>
                <c:pt idx="186">
                  <c:v>8</c:v>
                </c:pt>
              </c:numCache>
            </c:numRef>
          </c:val>
          <c:extLst>
            <c:ext xmlns:c16="http://schemas.microsoft.com/office/drawing/2014/chart" uri="{C3380CC4-5D6E-409C-BE32-E72D297353CC}">
              <c16:uniqueId val="{00000000-B978-4003-A9C9-CC2D2673DA8A}"/>
            </c:ext>
          </c:extLst>
        </c:ser>
        <c:dLbls>
          <c:showLegendKey val="0"/>
          <c:showVal val="0"/>
          <c:showCatName val="0"/>
          <c:showSerName val="0"/>
          <c:showPercent val="0"/>
          <c:showBubbleSize val="0"/>
        </c:dLbls>
        <c:gapWidth val="219"/>
        <c:overlap val="-27"/>
        <c:axId val="1157317167"/>
        <c:axId val="1157316687"/>
      </c:barChart>
      <c:lineChart>
        <c:grouping val="standard"/>
        <c:varyColors val="0"/>
        <c:ser>
          <c:idx val="1"/>
          <c:order val="1"/>
          <c:tx>
            <c:strRef>
              <c:f>'Covid Data'!$Q$1</c:f>
              <c:strCache>
                <c:ptCount val="1"/>
                <c:pt idx="0">
                  <c:v>Recovery Rate</c:v>
                </c:pt>
              </c:strCache>
            </c:strRef>
          </c:tx>
          <c:spPr>
            <a:ln w="28575" cap="rnd">
              <a:solidFill>
                <a:schemeClr val="accent2"/>
              </a:solidFill>
              <a:round/>
            </a:ln>
            <a:effectLst/>
          </c:spPr>
          <c:marker>
            <c:symbol val="none"/>
          </c:marker>
          <c:cat>
            <c:strRef>
              <c:f>'Covid Data'!$A$2:$A$189</c:f>
              <c:strCache>
                <c:ptCount val="187"/>
                <c:pt idx="0">
                  <c:v>US</c:v>
                </c:pt>
                <c:pt idx="1">
                  <c:v>Brazil</c:v>
                </c:pt>
                <c:pt idx="2">
                  <c:v>India</c:v>
                </c:pt>
                <c:pt idx="3">
                  <c:v>Russia</c:v>
                </c:pt>
                <c:pt idx="4">
                  <c:v>South Africa</c:v>
                </c:pt>
                <c:pt idx="5">
                  <c:v>Mexico</c:v>
                </c:pt>
                <c:pt idx="6">
                  <c:v>Peru</c:v>
                </c:pt>
                <c:pt idx="7">
                  <c:v>Chile</c:v>
                </c:pt>
                <c:pt idx="8">
                  <c:v>United Kingdom</c:v>
                </c:pt>
                <c:pt idx="9">
                  <c:v>Iran</c:v>
                </c:pt>
                <c:pt idx="10">
                  <c:v>Pakistan</c:v>
                </c:pt>
                <c:pt idx="11">
                  <c:v>Spain</c:v>
                </c:pt>
                <c:pt idx="12">
                  <c:v>Saudi Arabia</c:v>
                </c:pt>
                <c:pt idx="13">
                  <c:v>Colombia</c:v>
                </c:pt>
                <c:pt idx="14">
                  <c:v>Italy</c:v>
                </c:pt>
                <c:pt idx="15">
                  <c:v>Turkey</c:v>
                </c:pt>
                <c:pt idx="16">
                  <c:v>Bangladesh</c:v>
                </c:pt>
                <c:pt idx="17">
                  <c:v>France</c:v>
                </c:pt>
                <c:pt idx="18">
                  <c:v>Germany</c:v>
                </c:pt>
                <c:pt idx="19">
                  <c:v>Argentina</c:v>
                </c:pt>
                <c:pt idx="20">
                  <c:v>Canada</c:v>
                </c:pt>
                <c:pt idx="21">
                  <c:v>Iraq</c:v>
                </c:pt>
                <c:pt idx="22">
                  <c:v>Qatar</c:v>
                </c:pt>
                <c:pt idx="23">
                  <c:v>Indonesia</c:v>
                </c:pt>
                <c:pt idx="24">
                  <c:v>Egypt</c:v>
                </c:pt>
                <c:pt idx="25">
                  <c:v>China</c:v>
                </c:pt>
                <c:pt idx="26">
                  <c:v>Kazakhstan</c:v>
                </c:pt>
                <c:pt idx="27">
                  <c:v>Philippines</c:v>
                </c:pt>
                <c:pt idx="28">
                  <c:v>Ecuador</c:v>
                </c:pt>
                <c:pt idx="29">
                  <c:v>Sweden</c:v>
                </c:pt>
                <c:pt idx="30">
                  <c:v>Oman</c:v>
                </c:pt>
                <c:pt idx="31">
                  <c:v>Bolivia</c:v>
                </c:pt>
                <c:pt idx="32">
                  <c:v>Belarus</c:v>
                </c:pt>
                <c:pt idx="33">
                  <c:v>Ukraine</c:v>
                </c:pt>
                <c:pt idx="34">
                  <c:v>Belgium</c:v>
                </c:pt>
                <c:pt idx="35">
                  <c:v>Kuwait</c:v>
                </c:pt>
                <c:pt idx="36">
                  <c:v>Dominican Republic</c:v>
                </c:pt>
                <c:pt idx="37">
                  <c:v>Israel</c:v>
                </c:pt>
                <c:pt idx="38">
                  <c:v>Panama</c:v>
                </c:pt>
                <c:pt idx="39">
                  <c:v>United Arab Emirates</c:v>
                </c:pt>
                <c:pt idx="40">
                  <c:v>Netherlands</c:v>
                </c:pt>
                <c:pt idx="41">
                  <c:v>Singapore</c:v>
                </c:pt>
                <c:pt idx="42">
                  <c:v>Portugal</c:v>
                </c:pt>
                <c:pt idx="43">
                  <c:v>Romania</c:v>
                </c:pt>
                <c:pt idx="44">
                  <c:v>Guatemala</c:v>
                </c:pt>
                <c:pt idx="45">
                  <c:v>Poland</c:v>
                </c:pt>
                <c:pt idx="46">
                  <c:v>Nigeria</c:v>
                </c:pt>
                <c:pt idx="47">
                  <c:v>Honduras</c:v>
                </c:pt>
                <c:pt idx="48">
                  <c:v>Bahrain</c:v>
                </c:pt>
                <c:pt idx="49">
                  <c:v>Armenia</c:v>
                </c:pt>
                <c:pt idx="50">
                  <c:v>Afghanistan</c:v>
                </c:pt>
                <c:pt idx="51">
                  <c:v>Switzerland</c:v>
                </c:pt>
                <c:pt idx="52">
                  <c:v>Ghana</c:v>
                </c:pt>
                <c:pt idx="53">
                  <c:v>Kyrgyzstan</c:v>
                </c:pt>
                <c:pt idx="54">
                  <c:v>Japan</c:v>
                </c:pt>
                <c:pt idx="55">
                  <c:v>Azerbaijan</c:v>
                </c:pt>
                <c:pt idx="56">
                  <c:v>Algeria</c:v>
                </c:pt>
                <c:pt idx="57">
                  <c:v>Ireland</c:v>
                </c:pt>
                <c:pt idx="58">
                  <c:v>Serbia</c:v>
                </c:pt>
                <c:pt idx="59">
                  <c:v>Moldova</c:v>
                </c:pt>
                <c:pt idx="60">
                  <c:v>Uzbekistan</c:v>
                </c:pt>
                <c:pt idx="61">
                  <c:v>Morocco</c:v>
                </c:pt>
                <c:pt idx="62">
                  <c:v>Austria</c:v>
                </c:pt>
                <c:pt idx="63">
                  <c:v>Nepal</c:v>
                </c:pt>
                <c:pt idx="64">
                  <c:v>Kenya</c:v>
                </c:pt>
                <c:pt idx="65">
                  <c:v>Cameroon</c:v>
                </c:pt>
                <c:pt idx="66">
                  <c:v>Venezuela</c:v>
                </c:pt>
                <c:pt idx="67">
                  <c:v>Costa Rica</c:v>
                </c:pt>
                <c:pt idx="68">
                  <c:v>Cote d'Ivoire</c:v>
                </c:pt>
                <c:pt idx="69">
                  <c:v>Czechia</c:v>
                </c:pt>
                <c:pt idx="70">
                  <c:v>Australia</c:v>
                </c:pt>
                <c:pt idx="71">
                  <c:v>El Salvador</c:v>
                </c:pt>
                <c:pt idx="72">
                  <c:v>Ethiopia</c:v>
                </c:pt>
                <c:pt idx="73">
                  <c:v>South Korea</c:v>
                </c:pt>
                <c:pt idx="74">
                  <c:v>Denmark</c:v>
                </c:pt>
                <c:pt idx="75">
                  <c:v>Sudan</c:v>
                </c:pt>
                <c:pt idx="76">
                  <c:v>Bulgaria</c:v>
                </c:pt>
                <c:pt idx="77">
                  <c:v>West Bank and Gaza</c:v>
                </c:pt>
                <c:pt idx="78">
                  <c:v>Bosnia and Herzegovina</c:v>
                </c:pt>
                <c:pt idx="79">
                  <c:v>North Macedonia</c:v>
                </c:pt>
                <c:pt idx="80">
                  <c:v>Senegal</c:v>
                </c:pt>
                <c:pt idx="81">
                  <c:v>Madagascar</c:v>
                </c:pt>
                <c:pt idx="82">
                  <c:v>Norway</c:v>
                </c:pt>
                <c:pt idx="83">
                  <c:v>Malaysia</c:v>
                </c:pt>
                <c:pt idx="84">
                  <c:v>Congo (Kinshasa)</c:v>
                </c:pt>
                <c:pt idx="85">
                  <c:v>Kosovo</c:v>
                </c:pt>
                <c:pt idx="86">
                  <c:v>Finland</c:v>
                </c:pt>
                <c:pt idx="87">
                  <c:v>Haiti</c:v>
                </c:pt>
                <c:pt idx="88">
                  <c:v>Tajikistan</c:v>
                </c:pt>
                <c:pt idx="89">
                  <c:v>Gabon</c:v>
                </c:pt>
                <c:pt idx="90">
                  <c:v>Guinea</c:v>
                </c:pt>
                <c:pt idx="91">
                  <c:v>Luxembourg</c:v>
                </c:pt>
                <c:pt idx="92">
                  <c:v>Mauritania</c:v>
                </c:pt>
                <c:pt idx="93">
                  <c:v>Djibouti</c:v>
                </c:pt>
                <c:pt idx="94">
                  <c:v>Croatia</c:v>
                </c:pt>
                <c:pt idx="95">
                  <c:v>Albania</c:v>
                </c:pt>
                <c:pt idx="96">
                  <c:v>Central African Republic</c:v>
                </c:pt>
                <c:pt idx="97">
                  <c:v>Zambia</c:v>
                </c:pt>
                <c:pt idx="98">
                  <c:v>Paraguay</c:v>
                </c:pt>
                <c:pt idx="99">
                  <c:v>Hungary</c:v>
                </c:pt>
                <c:pt idx="100">
                  <c:v>Greece</c:v>
                </c:pt>
                <c:pt idx="101">
                  <c:v>Lebanon</c:v>
                </c:pt>
                <c:pt idx="102">
                  <c:v>Malawi</c:v>
                </c:pt>
                <c:pt idx="103">
                  <c:v>Nicaragua</c:v>
                </c:pt>
                <c:pt idx="104">
                  <c:v>Maldives</c:v>
                </c:pt>
                <c:pt idx="105">
                  <c:v>Thailand</c:v>
                </c:pt>
                <c:pt idx="106">
                  <c:v>Congo (Brazzaville)</c:v>
                </c:pt>
                <c:pt idx="107">
                  <c:v>Somalia</c:v>
                </c:pt>
                <c:pt idx="108">
                  <c:v>Equatorial Guinea</c:v>
                </c:pt>
                <c:pt idx="109">
                  <c:v>Montenegro</c:v>
                </c:pt>
                <c:pt idx="110">
                  <c:v>Libya</c:v>
                </c:pt>
                <c:pt idx="111">
                  <c:v>Sri Lanka</c:v>
                </c:pt>
                <c:pt idx="112">
                  <c:v>Zimbabwe</c:v>
                </c:pt>
                <c:pt idx="113">
                  <c:v>Cuba</c:v>
                </c:pt>
                <c:pt idx="114">
                  <c:v>Mali</c:v>
                </c:pt>
                <c:pt idx="115">
                  <c:v>Cabo Verde</c:v>
                </c:pt>
                <c:pt idx="116">
                  <c:v>Eswatini</c:v>
                </c:pt>
                <c:pt idx="117">
                  <c:v>South Sudan</c:v>
                </c:pt>
                <c:pt idx="118">
                  <c:v>Slovakia</c:v>
                </c:pt>
                <c:pt idx="119">
                  <c:v>Slovenia</c:v>
                </c:pt>
                <c:pt idx="120">
                  <c:v>Estonia</c:v>
                </c:pt>
                <c:pt idx="121">
                  <c:v>Lithuania</c:v>
                </c:pt>
                <c:pt idx="122">
                  <c:v>Guinea-Bissau</c:v>
                </c:pt>
                <c:pt idx="123">
                  <c:v>Rwanda</c:v>
                </c:pt>
                <c:pt idx="124">
                  <c:v>Iceland</c:v>
                </c:pt>
                <c:pt idx="125">
                  <c:v>Namibia</c:v>
                </c:pt>
                <c:pt idx="126">
                  <c:v>Sierra Leone</c:v>
                </c:pt>
                <c:pt idx="127">
                  <c:v>Benin</c:v>
                </c:pt>
                <c:pt idx="128">
                  <c:v>Mozambique</c:v>
                </c:pt>
                <c:pt idx="129">
                  <c:v>Yemen</c:v>
                </c:pt>
                <c:pt idx="130">
                  <c:v>New Zealand</c:v>
                </c:pt>
                <c:pt idx="131">
                  <c:v>Suriname</c:v>
                </c:pt>
                <c:pt idx="132">
                  <c:v>Tunisia</c:v>
                </c:pt>
                <c:pt idx="133">
                  <c:v>Latvia</c:v>
                </c:pt>
                <c:pt idx="134">
                  <c:v>Uruguay</c:v>
                </c:pt>
                <c:pt idx="135">
                  <c:v>Jordan</c:v>
                </c:pt>
                <c:pt idx="136">
                  <c:v>Liberia</c:v>
                </c:pt>
                <c:pt idx="137">
                  <c:v>Georgia</c:v>
                </c:pt>
                <c:pt idx="138">
                  <c:v>Niger</c:v>
                </c:pt>
                <c:pt idx="139">
                  <c:v>Uganda</c:v>
                </c:pt>
                <c:pt idx="140">
                  <c:v>Burkina Faso</c:v>
                </c:pt>
                <c:pt idx="141">
                  <c:v>Cyprus</c:v>
                </c:pt>
                <c:pt idx="142">
                  <c:v>Angola</c:v>
                </c:pt>
                <c:pt idx="143">
                  <c:v>Chad</c:v>
                </c:pt>
                <c:pt idx="144">
                  <c:v>Andorra</c:v>
                </c:pt>
                <c:pt idx="145">
                  <c:v>Togo</c:v>
                </c:pt>
                <c:pt idx="146">
                  <c:v>Sao Tome and Principe</c:v>
                </c:pt>
                <c:pt idx="147">
                  <c:v>Jamaica</c:v>
                </c:pt>
                <c:pt idx="148">
                  <c:v>Botswana</c:v>
                </c:pt>
                <c:pt idx="149">
                  <c:v>Malta</c:v>
                </c:pt>
                <c:pt idx="150">
                  <c:v>San Marino</c:v>
                </c:pt>
                <c:pt idx="151">
                  <c:v>Syria</c:v>
                </c:pt>
                <c:pt idx="152">
                  <c:v>Tanzania</c:v>
                </c:pt>
                <c:pt idx="153">
                  <c:v>Lesotho</c:v>
                </c:pt>
                <c:pt idx="154">
                  <c:v>Taiwan*</c:v>
                </c:pt>
                <c:pt idx="155">
                  <c:v>Vietnam</c:v>
                </c:pt>
                <c:pt idx="156">
                  <c:v>Guyana</c:v>
                </c:pt>
                <c:pt idx="157">
                  <c:v>Bahamas</c:v>
                </c:pt>
                <c:pt idx="158">
                  <c:v>Burundi</c:v>
                </c:pt>
                <c:pt idx="159">
                  <c:v>Comoros</c:v>
                </c:pt>
                <c:pt idx="160">
                  <c:v>Burma</c:v>
                </c:pt>
                <c:pt idx="161">
                  <c:v>Mauritius</c:v>
                </c:pt>
                <c:pt idx="162">
                  <c:v>Gambia</c:v>
                </c:pt>
                <c:pt idx="163">
                  <c:v>Mongolia</c:v>
                </c:pt>
                <c:pt idx="164">
                  <c:v>Eritrea</c:v>
                </c:pt>
                <c:pt idx="165">
                  <c:v>Cambodia</c:v>
                </c:pt>
                <c:pt idx="166">
                  <c:v>Trinidad and Tobago</c:v>
                </c:pt>
                <c:pt idx="167">
                  <c:v>Brunei</c:v>
                </c:pt>
                <c:pt idx="168">
                  <c:v>Monaco</c:v>
                </c:pt>
                <c:pt idx="169">
                  <c:v>Seychelles</c:v>
                </c:pt>
                <c:pt idx="170">
                  <c:v>Barbados</c:v>
                </c:pt>
                <c:pt idx="171">
                  <c:v>Bhutan</c:v>
                </c:pt>
                <c:pt idx="172">
                  <c:v>Antigua and Barbuda</c:v>
                </c:pt>
                <c:pt idx="173">
                  <c:v>Liechtenstein</c:v>
                </c:pt>
                <c:pt idx="174">
                  <c:v>Papua New Guinea</c:v>
                </c:pt>
                <c:pt idx="175">
                  <c:v>Saint Vincent and the Grenadines</c:v>
                </c:pt>
                <c:pt idx="176">
                  <c:v>Belize</c:v>
                </c:pt>
                <c:pt idx="177">
                  <c:v>Fiji</c:v>
                </c:pt>
                <c:pt idx="178">
                  <c:v>Saint Lucia</c:v>
                </c:pt>
                <c:pt idx="179">
                  <c:v>Timor-Leste</c:v>
                </c:pt>
                <c:pt idx="180">
                  <c:v>Grenada</c:v>
                </c:pt>
                <c:pt idx="181">
                  <c:v>Laos</c:v>
                </c:pt>
                <c:pt idx="182">
                  <c:v>Dominica</c:v>
                </c:pt>
                <c:pt idx="183">
                  <c:v>Saint Kitts and Nevis</c:v>
                </c:pt>
                <c:pt idx="184">
                  <c:v>Greenland</c:v>
                </c:pt>
                <c:pt idx="185">
                  <c:v>Holy See</c:v>
                </c:pt>
                <c:pt idx="186">
                  <c:v>Western Sahara</c:v>
                </c:pt>
              </c:strCache>
            </c:strRef>
          </c:cat>
          <c:val>
            <c:numRef>
              <c:f>'Covid Data'!$Q$2:$Q$189</c:f>
              <c:numCache>
                <c:formatCode>0%</c:formatCode>
                <c:ptCount val="188"/>
                <c:pt idx="0">
                  <c:v>0.30902656459668287</c:v>
                </c:pt>
                <c:pt idx="1">
                  <c:v>0.75608413941348074</c:v>
                </c:pt>
                <c:pt idx="2">
                  <c:v>0.64264803154979522</c:v>
                </c:pt>
                <c:pt idx="3">
                  <c:v>0.73743571533525987</c:v>
                </c:pt>
                <c:pt idx="4">
                  <c:v>0.60753012514115112</c:v>
                </c:pt>
                <c:pt idx="5">
                  <c:v>0.7681882429094109</c:v>
                </c:pt>
                <c:pt idx="6">
                  <c:v>0.69934593564047753</c:v>
                </c:pt>
                <c:pt idx="7">
                  <c:v>0.91961152323933748</c:v>
                </c:pt>
                <c:pt idx="8">
                  <c:v>4.7628833176448756E-3</c:v>
                </c:pt>
                <c:pt idx="9">
                  <c:v>0.86900131468702957</c:v>
                </c:pt>
                <c:pt idx="10">
                  <c:v>0.8787300985456945</c:v>
                </c:pt>
                <c:pt idx="11">
                  <c:v>0.55199856105072664</c:v>
                </c:pt>
                <c:pt idx="12">
                  <c:v>0.8289617526976879</c:v>
                </c:pt>
                <c:pt idx="13">
                  <c:v>0.51015359722443709</c:v>
                </c:pt>
                <c:pt idx="14">
                  <c:v>0.80635115272488078</c:v>
                </c:pt>
                <c:pt idx="15">
                  <c:v>0.92709861289143203</c:v>
                </c:pt>
                <c:pt idx="16">
                  <c:v>0.55556636092385903</c:v>
                </c:pt>
                <c:pt idx="17">
                  <c:v>0.36855576532094103</c:v>
                </c:pt>
                <c:pt idx="18">
                  <c:v>0.91889412491791878</c:v>
                </c:pt>
                <c:pt idx="19">
                  <c:v>0.43350097959573758</c:v>
                </c:pt>
                <c:pt idx="20">
                  <c:v>0</c:v>
                </c:pt>
                <c:pt idx="21">
                  <c:v>0.68520673269085575</c:v>
                </c:pt>
                <c:pt idx="22">
                  <c:v>0.97017254121919394</c:v>
                </c:pt>
                <c:pt idx="23">
                  <c:v>0.57997268277120329</c:v>
                </c:pt>
                <c:pt idx="24">
                  <c:v>0.37670033087519733</c:v>
                </c:pt>
                <c:pt idx="25">
                  <c:v>0.90880702441722461</c:v>
                </c:pt>
                <c:pt idx="26">
                  <c:v>0.64270862867403833</c:v>
                </c:pt>
                <c:pt idx="27">
                  <c:v>0.32235494880546073</c:v>
                </c:pt>
                <c:pt idx="28">
                  <c:v>0.42996020256034301</c:v>
                </c:pt>
                <c:pt idx="29">
                  <c:v>0</c:v>
                </c:pt>
                <c:pt idx="30">
                  <c:v>0.74006592436865737</c:v>
                </c:pt>
                <c:pt idx="31">
                  <c:v>0.30173782329554233</c:v>
                </c:pt>
                <c:pt idx="32">
                  <c:v>0.89949591827630815</c:v>
                </c:pt>
                <c:pt idx="33">
                  <c:v>0.55445928222248719</c:v>
                </c:pt>
                <c:pt idx="34">
                  <c:v>0.26272053953152286</c:v>
                </c:pt>
                <c:pt idx="35">
                  <c:v>0.85520123021482164</c:v>
                </c:pt>
                <c:pt idx="36">
                  <c:v>0.47078994949809838</c:v>
                </c:pt>
                <c:pt idx="37">
                  <c:v>0.42405251230757207</c:v>
                </c:pt>
                <c:pt idx="38">
                  <c:v>0.57104260929006212</c:v>
                </c:pt>
                <c:pt idx="39">
                  <c:v>0.88733798604187442</c:v>
                </c:pt>
                <c:pt idx="40">
                  <c:v>3.5384644187744555E-3</c:v>
                </c:pt>
                <c:pt idx="41">
                  <c:v>0.89877650576340529</c:v>
                </c:pt>
                <c:pt idx="42">
                  <c:v>0.70329430008548877</c:v>
                </c:pt>
                <c:pt idx="43">
                  <c:v>0.56193629907193587</c:v>
                </c:pt>
                <c:pt idx="44">
                  <c:v>0.71630360414045779</c:v>
                </c:pt>
                <c:pt idx="45">
                  <c:v>0.75701580572323857</c:v>
                </c:pt>
                <c:pt idx="46">
                  <c:v>0.44203496843127732</c:v>
                </c:pt>
                <c:pt idx="47">
                  <c:v>0.12679600412672051</c:v>
                </c:pt>
                <c:pt idx="48">
                  <c:v>0.91459399219897675</c:v>
                </c:pt>
                <c:pt idx="49">
                  <c:v>0.71315859855576358</c:v>
                </c:pt>
                <c:pt idx="50">
                  <c:v>0.69486804732096075</c:v>
                </c:pt>
                <c:pt idx="51">
                  <c:v>0.89624967369550712</c:v>
                </c:pt>
                <c:pt idx="52">
                  <c:v>0.88630145134427785</c:v>
                </c:pt>
                <c:pt idx="53">
                  <c:v>0.63686328688130711</c:v>
                </c:pt>
                <c:pt idx="54">
                  <c:v>0.70547813242566304</c:v>
                </c:pt>
                <c:pt idx="55">
                  <c:v>0.76338435262431847</c:v>
                </c:pt>
                <c:pt idx="56">
                  <c:v>0.67339934937260926</c:v>
                </c:pt>
                <c:pt idx="57">
                  <c:v>0.90236366445234051</c:v>
                </c:pt>
                <c:pt idx="58">
                  <c:v>0</c:v>
                </c:pt>
                <c:pt idx="59">
                  <c:v>0.69767642739915348</c:v>
                </c:pt>
                <c:pt idx="60">
                  <c:v>0.55042670564383045</c:v>
                </c:pt>
                <c:pt idx="61">
                  <c:v>0.79250251352515921</c:v>
                </c:pt>
                <c:pt idx="62">
                  <c:v>0.88753769821967121</c:v>
                </c:pt>
                <c:pt idx="63">
                  <c:v>0.73346843003412965</c:v>
                </c:pt>
                <c:pt idx="64">
                  <c:v>0.4357719054242003</c:v>
                </c:pt>
                <c:pt idx="65">
                  <c:v>0.84973699590882523</c:v>
                </c:pt>
                <c:pt idx="66">
                  <c:v>0.62290467850888165</c:v>
                </c:pt>
                <c:pt idx="67">
                  <c:v>0.24139890158449592</c:v>
                </c:pt>
                <c:pt idx="68">
                  <c:v>0.66183328010220377</c:v>
                </c:pt>
                <c:pt idx="69">
                  <c:v>0.7365300335137922</c:v>
                </c:pt>
                <c:pt idx="70">
                  <c:v>0.60844278899562176</c:v>
                </c:pt>
                <c:pt idx="71">
                  <c:v>0.51732623877618888</c:v>
                </c:pt>
                <c:pt idx="72">
                  <c:v>0.43899085722142023</c:v>
                </c:pt>
                <c:pt idx="73">
                  <c:v>0.91579243821727807</c:v>
                </c:pt>
                <c:pt idx="74">
                  <c:v>0.91599447714555626</c:v>
                </c:pt>
                <c:pt idx="75">
                  <c:v>0.51987044817927175</c:v>
                </c:pt>
                <c:pt idx="76">
                  <c:v>0.52584502400903865</c:v>
                </c:pt>
                <c:pt idx="77">
                  <c:v>0.35326240466999342</c:v>
                </c:pt>
                <c:pt idx="78">
                  <c:v>0.46961325966850831</c:v>
                </c:pt>
                <c:pt idx="79">
                  <c:v>0.54479584842847351</c:v>
                </c:pt>
                <c:pt idx="80">
                  <c:v>0.66335518230233514</c:v>
                </c:pt>
                <c:pt idx="81">
                  <c:v>0.6460268317853457</c:v>
                </c:pt>
                <c:pt idx="82">
                  <c:v>0.95838808585194923</c:v>
                </c:pt>
                <c:pt idx="83">
                  <c:v>0.96597035040431267</c:v>
                </c:pt>
                <c:pt idx="84">
                  <c:v>0.64450474898236088</c:v>
                </c:pt>
                <c:pt idx="85">
                  <c:v>0.54323485768244972</c:v>
                </c:pt>
                <c:pt idx="86">
                  <c:v>0.93538794268721281</c:v>
                </c:pt>
                <c:pt idx="87">
                  <c:v>0.59468664850136244</c:v>
                </c:pt>
                <c:pt idx="88">
                  <c:v>0.83317208016586042</c:v>
                </c:pt>
                <c:pt idx="89">
                  <c:v>0.65127277785505633</c:v>
                </c:pt>
                <c:pt idx="90">
                  <c:v>0.88688873139617297</c:v>
                </c:pt>
                <c:pt idx="91">
                  <c:v>0.763328587248853</c:v>
                </c:pt>
                <c:pt idx="92">
                  <c:v>0.74951675257731953</c:v>
                </c:pt>
                <c:pt idx="93">
                  <c:v>0.98379126309547338</c:v>
                </c:pt>
                <c:pt idx="94">
                  <c:v>0.80639213275968036</c:v>
                </c:pt>
                <c:pt idx="95">
                  <c:v>0.5625</c:v>
                </c:pt>
                <c:pt idx="96">
                  <c:v>0.33616003479017176</c:v>
                </c:pt>
                <c:pt idx="97">
                  <c:v>0.61840949033391912</c:v>
                </c:pt>
                <c:pt idx="98">
                  <c:v>0.63874230430958667</c:v>
                </c:pt>
                <c:pt idx="99">
                  <c:v>0.74842625899280579</c:v>
                </c:pt>
                <c:pt idx="100">
                  <c:v>0.32505322924059615</c:v>
                </c:pt>
                <c:pt idx="101">
                  <c:v>0.44023699124162802</c:v>
                </c:pt>
                <c:pt idx="102">
                  <c:v>0.44896288209606988</c:v>
                </c:pt>
                <c:pt idx="103">
                  <c:v>0.72462925268973544</c:v>
                </c:pt>
                <c:pt idx="104">
                  <c:v>0.75601068566340157</c:v>
                </c:pt>
                <c:pt idx="105">
                  <c:v>0.94358507734303909</c:v>
                </c:pt>
                <c:pt idx="106">
                  <c:v>0.25906249999999997</c:v>
                </c:pt>
                <c:pt idx="107">
                  <c:v>0.48279098873591991</c:v>
                </c:pt>
                <c:pt idx="108">
                  <c:v>0.27417779225008143</c:v>
                </c:pt>
                <c:pt idx="109">
                  <c:v>0.27964051157967507</c:v>
                </c:pt>
                <c:pt idx="110">
                  <c:v>0.20410328970640254</c:v>
                </c:pt>
                <c:pt idx="111">
                  <c:v>0.75614973262032081</c:v>
                </c:pt>
                <c:pt idx="112">
                  <c:v>0.20044378698224852</c:v>
                </c:pt>
                <c:pt idx="113">
                  <c:v>0.92851500789889418</c:v>
                </c:pt>
                <c:pt idx="114">
                  <c:v>0.76124154397134902</c:v>
                </c:pt>
                <c:pt idx="115">
                  <c:v>0.66580756013745701</c:v>
                </c:pt>
                <c:pt idx="116">
                  <c:v>0.442573402417962</c:v>
                </c:pt>
                <c:pt idx="117">
                  <c:v>0.50976138828633411</c:v>
                </c:pt>
                <c:pt idx="118">
                  <c:v>0.74094452086198992</c:v>
                </c:pt>
                <c:pt idx="119">
                  <c:v>0.83037853378054627</c:v>
                </c:pt>
                <c:pt idx="120">
                  <c:v>0.94542772861356927</c:v>
                </c:pt>
                <c:pt idx="121">
                  <c:v>0.80237741456166423</c:v>
                </c:pt>
                <c:pt idx="122">
                  <c:v>0.41095189355168882</c:v>
                </c:pt>
                <c:pt idx="123">
                  <c:v>0.51889302820649286</c:v>
                </c:pt>
                <c:pt idx="124">
                  <c:v>0.98327939590075508</c:v>
                </c:pt>
                <c:pt idx="125">
                  <c:v>5.4801953336950621E-2</c:v>
                </c:pt>
                <c:pt idx="126">
                  <c:v>0.73864273696017946</c:v>
                </c:pt>
                <c:pt idx="127">
                  <c:v>0.58531073446327686</c:v>
                </c:pt>
                <c:pt idx="128">
                  <c:v>0</c:v>
                </c:pt>
                <c:pt idx="129">
                  <c:v>0.49260792430514488</c:v>
                </c:pt>
                <c:pt idx="130">
                  <c:v>0.97238278741168915</c:v>
                </c:pt>
                <c:pt idx="131">
                  <c:v>0.62373567093728932</c:v>
                </c:pt>
                <c:pt idx="132">
                  <c:v>0.79518900343642607</c:v>
                </c:pt>
                <c:pt idx="133">
                  <c:v>0.85726004922067267</c:v>
                </c:pt>
                <c:pt idx="134">
                  <c:v>0.79118136439267883</c:v>
                </c:pt>
                <c:pt idx="135">
                  <c:v>0.88520408163265307</c:v>
                </c:pt>
                <c:pt idx="136">
                  <c:v>0.55355612682090827</c:v>
                </c:pt>
                <c:pt idx="137">
                  <c:v>0.81090589270008795</c:v>
                </c:pt>
                <c:pt idx="138">
                  <c:v>0.90724381625441697</c:v>
                </c:pt>
                <c:pt idx="139">
                  <c:v>0.87411347517730498</c:v>
                </c:pt>
                <c:pt idx="140">
                  <c:v>0.8418181818181818</c:v>
                </c:pt>
                <c:pt idx="141">
                  <c:v>0.80377358490566042</c:v>
                </c:pt>
                <c:pt idx="142">
                  <c:v>0.25473684210526315</c:v>
                </c:pt>
                <c:pt idx="143">
                  <c:v>0.87852494577006512</c:v>
                </c:pt>
                <c:pt idx="144">
                  <c:v>0.88533627342888643</c:v>
                </c:pt>
                <c:pt idx="145">
                  <c:v>0.69450800915331812</c:v>
                </c:pt>
                <c:pt idx="146">
                  <c:v>0.84855491329479771</c:v>
                </c:pt>
                <c:pt idx="147">
                  <c:v>0.83704572098475971</c:v>
                </c:pt>
                <c:pt idx="148">
                  <c:v>8.5250338294993233E-2</c:v>
                </c:pt>
                <c:pt idx="149">
                  <c:v>0.94864479315263905</c:v>
                </c:pt>
                <c:pt idx="150">
                  <c:v>0.93991416309012876</c:v>
                </c:pt>
                <c:pt idx="151">
                  <c:v>0</c:v>
                </c:pt>
                <c:pt idx="152">
                  <c:v>0.35952848722986247</c:v>
                </c:pt>
                <c:pt idx="153">
                  <c:v>0.25346534653465347</c:v>
                </c:pt>
                <c:pt idx="154">
                  <c:v>0.95238095238095233</c:v>
                </c:pt>
                <c:pt idx="155">
                  <c:v>0.84686774941995357</c:v>
                </c:pt>
                <c:pt idx="156">
                  <c:v>0.4652956298200514</c:v>
                </c:pt>
                <c:pt idx="157">
                  <c:v>0.23821989528795812</c:v>
                </c:pt>
                <c:pt idx="158">
                  <c:v>0.79629629629629628</c:v>
                </c:pt>
                <c:pt idx="159">
                  <c:v>0.92655367231638419</c:v>
                </c:pt>
                <c:pt idx="160">
                  <c:v>0.8342857142857143</c:v>
                </c:pt>
                <c:pt idx="161">
                  <c:v>0.96511627906976749</c:v>
                </c:pt>
                <c:pt idx="162">
                  <c:v>0.20245398773006135</c:v>
                </c:pt>
                <c:pt idx="163">
                  <c:v>0.76816608996539792</c:v>
                </c:pt>
                <c:pt idx="164">
                  <c:v>0.72075471698113203</c:v>
                </c:pt>
                <c:pt idx="165">
                  <c:v>0.65044247787610621</c:v>
                </c:pt>
                <c:pt idx="166">
                  <c:v>0.86486486486486491</c:v>
                </c:pt>
                <c:pt idx="167">
                  <c:v>0.97872340425531912</c:v>
                </c:pt>
                <c:pt idx="168">
                  <c:v>0.89655172413793105</c:v>
                </c:pt>
                <c:pt idx="169">
                  <c:v>0.34210526315789475</c:v>
                </c:pt>
                <c:pt idx="170">
                  <c:v>0.8545454545454545</c:v>
                </c:pt>
                <c:pt idx="171">
                  <c:v>0.86868686868686873</c:v>
                </c:pt>
                <c:pt idx="172">
                  <c:v>0.7558139534883721</c:v>
                </c:pt>
                <c:pt idx="173">
                  <c:v>0.94186046511627908</c:v>
                </c:pt>
                <c:pt idx="174">
                  <c:v>0.17741935483870969</c:v>
                </c:pt>
                <c:pt idx="175">
                  <c:v>0.75</c:v>
                </c:pt>
                <c:pt idx="176">
                  <c:v>0.54166666666666663</c:v>
                </c:pt>
                <c:pt idx="177">
                  <c:v>0.66666666666666663</c:v>
                </c:pt>
                <c:pt idx="178">
                  <c:v>0.91666666666666663</c:v>
                </c:pt>
                <c:pt idx="179">
                  <c:v>0</c:v>
                </c:pt>
                <c:pt idx="180">
                  <c:v>1</c:v>
                </c:pt>
                <c:pt idx="181">
                  <c:v>0.95</c:v>
                </c:pt>
                <c:pt idx="182">
                  <c:v>1</c:v>
                </c:pt>
                <c:pt idx="183">
                  <c:v>0.88235294117647056</c:v>
                </c:pt>
                <c:pt idx="184">
                  <c:v>0.9285714285714286</c:v>
                </c:pt>
                <c:pt idx="185">
                  <c:v>1</c:v>
                </c:pt>
                <c:pt idx="186">
                  <c:v>0.8</c:v>
                </c:pt>
              </c:numCache>
            </c:numRef>
          </c:val>
          <c:smooth val="0"/>
          <c:extLst>
            <c:ext xmlns:c16="http://schemas.microsoft.com/office/drawing/2014/chart" uri="{C3380CC4-5D6E-409C-BE32-E72D297353CC}">
              <c16:uniqueId val="{00000001-B978-4003-A9C9-CC2D2673DA8A}"/>
            </c:ext>
          </c:extLst>
        </c:ser>
        <c:dLbls>
          <c:showLegendKey val="0"/>
          <c:showVal val="0"/>
          <c:showCatName val="0"/>
          <c:showSerName val="0"/>
          <c:showPercent val="0"/>
          <c:showBubbleSize val="0"/>
        </c:dLbls>
        <c:marker val="1"/>
        <c:smooth val="0"/>
        <c:axId val="1157346447"/>
        <c:axId val="1157351247"/>
      </c:lineChart>
      <c:catAx>
        <c:axId val="115731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16687"/>
        <c:crosses val="autoZero"/>
        <c:auto val="1"/>
        <c:lblAlgn val="ctr"/>
        <c:lblOffset val="100"/>
        <c:noMultiLvlLbl val="0"/>
      </c:catAx>
      <c:valAx>
        <c:axId val="11573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17167"/>
        <c:crosses val="autoZero"/>
        <c:crossBetween val="between"/>
      </c:valAx>
      <c:valAx>
        <c:axId val="11573512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46447"/>
        <c:crosses val="max"/>
        <c:crossBetween val="between"/>
      </c:valAx>
      <c:catAx>
        <c:axId val="1157346447"/>
        <c:scaling>
          <c:orientation val="minMax"/>
        </c:scaling>
        <c:delete val="1"/>
        <c:axPos val="b"/>
        <c:numFmt formatCode="General" sourceLinked="1"/>
        <c:majorTickMark val="out"/>
        <c:minorTickMark val="none"/>
        <c:tickLblPos val="nextTo"/>
        <c:crossAx val="115735124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6350</xdr:colOff>
      <xdr:row>0</xdr:row>
      <xdr:rowOff>0</xdr:rowOff>
    </xdr:from>
    <xdr:to>
      <xdr:col>7</xdr:col>
      <xdr:colOff>844550</xdr:colOff>
      <xdr:row>13</xdr:row>
      <xdr:rowOff>130175</xdr:rowOff>
    </xdr:to>
    <mc:AlternateContent xmlns:mc="http://schemas.openxmlformats.org/markup-compatibility/2006">
      <mc:Choice xmlns:a14="http://schemas.microsoft.com/office/drawing/2010/main" Requires="a14">
        <xdr:graphicFrame macro="">
          <xdr:nvGraphicFramePr>
            <xdr:cNvPr id="8" name="WHO Region">
              <a:extLst>
                <a:ext uri="{FF2B5EF4-FFF2-40B4-BE49-F238E27FC236}">
                  <a16:creationId xmlns:a16="http://schemas.microsoft.com/office/drawing/2014/main" id="{DC31F9BB-906F-4853-AABA-2BE6F25A28F8}"/>
                </a:ext>
              </a:extLst>
            </xdr:cNvPr>
            <xdr:cNvGraphicFramePr/>
          </xdr:nvGraphicFramePr>
          <xdr:xfrm>
            <a:off x="0" y="0"/>
            <a:ext cx="0" cy="0"/>
          </xdr:xfrm>
          <a:graphic>
            <a:graphicData uri="http://schemas.microsoft.com/office/drawing/2010/slicer">
              <sle:slicer xmlns:sle="http://schemas.microsoft.com/office/drawing/2010/slicer" name="WHO Region"/>
            </a:graphicData>
          </a:graphic>
        </xdr:graphicFrame>
      </mc:Choice>
      <mc:Fallback>
        <xdr:sp macro="" textlink="">
          <xdr:nvSpPr>
            <xdr:cNvPr id="0" name=""/>
            <xdr:cNvSpPr>
              <a:spLocks noTextEdit="1"/>
            </xdr:cNvSpPr>
          </xdr:nvSpPr>
          <xdr:spPr>
            <a:xfrm>
              <a:off x="67691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7</xdr:row>
      <xdr:rowOff>6350</xdr:rowOff>
    </xdr:from>
    <xdr:to>
      <xdr:col>7</xdr:col>
      <xdr:colOff>0</xdr:colOff>
      <xdr:row>19</xdr:row>
      <xdr:rowOff>57150</xdr:rowOff>
    </xdr:to>
    <xdr:graphicFrame macro="">
      <xdr:nvGraphicFramePr>
        <xdr:cNvPr id="4" name="Chart 3">
          <a:extLst>
            <a:ext uri="{FF2B5EF4-FFF2-40B4-BE49-F238E27FC236}">
              <a16:creationId xmlns:a16="http://schemas.microsoft.com/office/drawing/2014/main" id="{4CD9339F-D88F-4016-90B7-3C4CA3BBD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6351</xdr:colOff>
      <xdr:row>7</xdr:row>
      <xdr:rowOff>19050</xdr:rowOff>
    </xdr:from>
    <xdr:to>
      <xdr:col>13</xdr:col>
      <xdr:colOff>1</xdr:colOff>
      <xdr:row>19</xdr:row>
      <xdr:rowOff>69850</xdr:rowOff>
    </xdr:to>
    <xdr:graphicFrame macro="">
      <xdr:nvGraphicFramePr>
        <xdr:cNvPr id="5" name="Chart 4">
          <a:extLst>
            <a:ext uri="{FF2B5EF4-FFF2-40B4-BE49-F238E27FC236}">
              <a16:creationId xmlns:a16="http://schemas.microsoft.com/office/drawing/2014/main" id="{EF6625C9-4717-4E56-85E4-0D748E26E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 Gupta" refreshedDate="46170.721954513887" createdVersion="8" refreshedVersion="8" minRefreshableVersion="3" recordCount="187" xr:uid="{D0246EC8-F5C0-4363-A823-0717ED5D4546}">
  <cacheSource type="worksheet">
    <worksheetSource name="covid_data"/>
  </cacheSource>
  <cacheFields count="21">
    <cacheField name="Country/Region" numFmtId="0">
      <sharedItems count="187">
        <s v="US"/>
        <s v="Brazil"/>
        <s v="India"/>
        <s v="Russia"/>
        <s v="South Africa"/>
        <s v="Mexico"/>
        <s v="Peru"/>
        <s v="Chile"/>
        <s v="United Kingdom"/>
        <s v="Iran"/>
        <s v="Pakistan"/>
        <s v="Spain"/>
        <s v="Saudi Arabia"/>
        <s v="Colombia"/>
        <s v="Italy"/>
        <s v="Turkey"/>
        <s v="Bangladesh"/>
        <s v="France"/>
        <s v="Germany"/>
        <s v="Argentina"/>
        <s v="Canada"/>
        <s v="Iraq"/>
        <s v="Qatar"/>
        <s v="Indonesia"/>
        <s v="Egypt"/>
        <s v="China"/>
        <s v="Kazakhstan"/>
        <s v="Philippines"/>
        <s v="Ecuador"/>
        <s v="Sweden"/>
        <s v="Oman"/>
        <s v="Bolivia"/>
        <s v="Belarus"/>
        <s v="Ukraine"/>
        <s v="Belgium"/>
        <s v="Kuwait"/>
        <s v="Dominican Republic"/>
        <s v="Israel"/>
        <s v="Panama"/>
        <s v="United Arab Emirates"/>
        <s v="Netherlands"/>
        <s v="Singapore"/>
        <s v="Portugal"/>
        <s v="Romania"/>
        <s v="Guatemala"/>
        <s v="Poland"/>
        <s v="Nigeria"/>
        <s v="Honduras"/>
        <s v="Bahrain"/>
        <s v="Armenia"/>
        <s v="Afghanistan"/>
        <s v="Switzerland"/>
        <s v="Ghana"/>
        <s v="Kyrgyzstan"/>
        <s v="Japan"/>
        <s v="Azerbaijan"/>
        <s v="Algeria"/>
        <s v="Ireland"/>
        <s v="Serbia"/>
        <s v="Moldova"/>
        <s v="Uzbekistan"/>
        <s v="Morocco"/>
        <s v="Austria"/>
        <s v="Nepal"/>
        <s v="Kenya"/>
        <s v="Cameroon"/>
        <s v="Venezuela"/>
        <s v="Costa Rica"/>
        <s v="Cote d'Ivoire"/>
        <s v="Czechia"/>
        <s v="Australia"/>
        <s v="El Salvador"/>
        <s v="Ethiopia"/>
        <s v="South Korea"/>
        <s v="Denmark"/>
        <s v="Sudan"/>
        <s v="Bulgaria"/>
        <s v="West Bank and Gaza"/>
        <s v="Bosnia and Herzegovina"/>
        <s v="North Macedonia"/>
        <s v="Senegal"/>
        <s v="Madagascar"/>
        <s v="Norway"/>
        <s v="Malaysia"/>
        <s v="Congo (Kinshasa)"/>
        <s v="Kosovo"/>
        <s v="Finland"/>
        <s v="Haiti"/>
        <s v="Tajikistan"/>
        <s v="Gabon"/>
        <s v="Guinea"/>
        <s v="Luxembourg"/>
        <s v="Mauritania"/>
        <s v="Djibouti"/>
        <s v="Croatia"/>
        <s v="Albania"/>
        <s v="Central African Republic"/>
        <s v="Zambia"/>
        <s v="Paraguay"/>
        <s v="Hungary"/>
        <s v="Greece"/>
        <s v="Lebanon"/>
        <s v="Malawi"/>
        <s v="Nicaragua"/>
        <s v="Maldives"/>
        <s v="Thailand"/>
        <s v="Congo (Brazzaville)"/>
        <s v="Somalia"/>
        <s v="Equatorial Guinea"/>
        <s v="Montenegro"/>
        <s v="Libya"/>
        <s v="Sri Lanka"/>
        <s v="Zimbabwe"/>
        <s v="Cuba"/>
        <s v="Mali"/>
        <s v="Cabo Verde"/>
        <s v="Eswatini"/>
        <s v="South Sudan"/>
        <s v="Slovakia"/>
        <s v="Slovenia"/>
        <s v="Estonia"/>
        <s v="Lithuania"/>
        <s v="Guinea-Bissau"/>
        <s v="Rwanda"/>
        <s v="Iceland"/>
        <s v="Namibia"/>
        <s v="Sierra Leone"/>
        <s v="Benin"/>
        <s v="Mozambique"/>
        <s v="Yemen"/>
        <s v="New Zealand"/>
        <s v="Suriname"/>
        <s v="Tunisia"/>
        <s v="Latvia"/>
        <s v="Uruguay"/>
        <s v="Jordan"/>
        <s v="Liberia"/>
        <s v="Georgia"/>
        <s v="Niger"/>
        <s v="Uganda"/>
        <s v="Burkina Faso"/>
        <s v="Cyprus"/>
        <s v="Angola"/>
        <s v="Chad"/>
        <s v="Andorra"/>
        <s v="Togo"/>
        <s v="Sao Tome and Principe"/>
        <s v="Jamaica"/>
        <s v="Botswana"/>
        <s v="Malta"/>
        <s v="San Marino"/>
        <s v="Syria"/>
        <s v="Tanzania"/>
        <s v="Lesotho"/>
        <s v="Taiwan*"/>
        <s v="Vietnam"/>
        <s v="Guyana"/>
        <s v="Bahamas"/>
        <s v="Burundi"/>
        <s v="Comoros"/>
        <s v="Burma"/>
        <s v="Mauritius"/>
        <s v="Gambia"/>
        <s v="Mongolia"/>
        <s v="Eritrea"/>
        <s v="Cambodia"/>
        <s v="Trinidad and Tobago"/>
        <s v="Brunei"/>
        <s v="Monaco"/>
        <s v="Seychelles"/>
        <s v="Barbados"/>
        <s v="Bhutan"/>
        <s v="Antigua and Barbuda"/>
        <s v="Liechtenstein"/>
        <s v="Papua New Guinea"/>
        <s v="Saint Vincent and the Grenadines"/>
        <s v="Belize"/>
        <s v="Fiji"/>
        <s v="Saint Lucia"/>
        <s v="Timor-Leste"/>
        <s v="Grenada"/>
        <s v="Laos"/>
        <s v="Dominica"/>
        <s v="Saint Kitts and Nevis"/>
        <s v="Greenland"/>
        <s v="Holy See"/>
        <s v="Western Sahara"/>
      </sharedItems>
    </cacheField>
    <cacheField name="Confirmed" numFmtId="0">
      <sharedItems containsSemiMixedTypes="0" containsString="0" containsNumber="1" containsInteger="1" minValue="10" maxValue="4290259"/>
    </cacheField>
    <cacheField name="Deaths" numFmtId="0">
      <sharedItems containsSemiMixedTypes="0" containsString="0" containsNumber="1" containsInteger="1" minValue="0" maxValue="148011"/>
    </cacheField>
    <cacheField name="Recovered" numFmtId="0">
      <sharedItems containsSemiMixedTypes="0" containsString="0" containsNumber="1" containsInteger="1" minValue="0" maxValue="1846641"/>
    </cacheField>
    <cacheField name="Active" numFmtId="0">
      <sharedItems containsSemiMixedTypes="0" containsString="0" containsNumber="1" containsInteger="1" minValue="0" maxValue="2816444"/>
    </cacheField>
    <cacheField name="New cases" numFmtId="0">
      <sharedItems containsSemiMixedTypes="0" containsString="0" containsNumber="1" containsInteger="1" minValue="0" maxValue="56336"/>
    </cacheField>
    <cacheField name="New deaths" numFmtId="0">
      <sharedItems containsSemiMixedTypes="0" containsString="0" containsNumber="1" containsInteger="1" minValue="0" maxValue="1076"/>
    </cacheField>
    <cacheField name="New recovered" numFmtId="0">
      <sharedItems containsSemiMixedTypes="0" containsString="0" containsNumber="1" containsInteger="1" minValue="0" maxValue="33728"/>
    </cacheField>
    <cacheField name="Deaths / 100 Cases" numFmtId="0">
      <sharedItems containsSemiMixedTypes="0" containsString="0" containsNumber="1" minValue="0" maxValue="28.56"/>
    </cacheField>
    <cacheField name="Recovered / 100 Cases" numFmtId="0">
      <sharedItems containsSemiMixedTypes="0" containsString="0" containsNumber="1" minValue="0" maxValue="100"/>
    </cacheField>
    <cacheField name="Deaths / 100 Recovered" numFmtId="0">
      <sharedItems/>
    </cacheField>
    <cacheField name="Confirmed last week" numFmtId="0">
      <sharedItems containsSemiMixedTypes="0" containsString="0" containsNumber="1" containsInteger="1" minValue="10" maxValue="3834677"/>
    </cacheField>
    <cacheField name="1 week change" numFmtId="0">
      <sharedItems containsSemiMixedTypes="0" containsString="0" containsNumber="1" containsInteger="1" minValue="-47" maxValue="455582"/>
    </cacheField>
    <cacheField name="1 week % increase" numFmtId="0">
      <sharedItems containsSemiMixedTypes="0" containsString="0" containsNumber="1" minValue="-3.84" maxValue="226.32"/>
    </cacheField>
    <cacheField name="WHO Region" numFmtId="0">
      <sharedItems count="6">
        <s v="Americas"/>
        <s v="South-East Asia"/>
        <s v="Europe"/>
        <s v="Africa"/>
        <s v="Eastern Mediterranean"/>
        <s v="Western Pacific"/>
      </sharedItems>
    </cacheField>
    <cacheField name="Death Rate" numFmtId="2">
      <sharedItems containsSemiMixedTypes="0" containsString="0" containsNumber="1" minValue="0" maxValue="28.562980484920164"/>
    </cacheField>
    <cacheField name="Recovery Rate" numFmtId="2">
      <sharedItems containsSemiMixedTypes="0" containsString="0" containsNumber="1" minValue="0" maxValue="100"/>
    </cacheField>
    <cacheField name="Active Case Percentage" numFmtId="2">
      <sharedItems containsSemiMixedTypes="0" containsString="0" containsNumber="1" minValue="0" maxValue="100"/>
    </cacheField>
    <cacheField name="Risk Category based on New Deaths" numFmtId="2">
      <sharedItems count="2">
        <s v="High Risk"/>
        <s v="Low Risk"/>
      </sharedItems>
    </cacheField>
    <cacheField name="Country Ranking" numFmtId="1">
      <sharedItems containsSemiMixedTypes="0" containsString="0" containsNumber="1" containsInteger="1" minValue="1" maxValue="187" count="18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5"/>
        <n v="176"/>
        <n v="177"/>
        <n v="178"/>
        <n v="179"/>
        <n v="181"/>
        <n v="182"/>
        <n v="183"/>
        <n v="184"/>
        <n v="185"/>
        <n v="186"/>
        <n v="187"/>
      </sharedItems>
    </cacheField>
    <cacheField name="Case Severity Category" numFmtId="2">
      <sharedItems/>
    </cacheField>
  </cacheFields>
  <extLst>
    <ext xmlns:x14="http://schemas.microsoft.com/office/spreadsheetml/2009/9/main" uri="{725AE2AE-9491-48be-B2B4-4EB974FC3084}">
      <x14:pivotCacheDefinition pivotCacheId="1599265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n v="4290259"/>
    <n v="148011"/>
    <n v="1325804"/>
    <n v="2816444"/>
    <n v="56336"/>
    <n v="1076"/>
    <n v="27941"/>
    <n v="3.45"/>
    <n v="30.9"/>
    <s v="11.16"/>
    <n v="3834677"/>
    <n v="455582"/>
    <n v="11.88"/>
    <x v="0"/>
    <n v="3.4499315775574386"/>
    <n v="30.902656459668286"/>
    <n v="65.647411962774271"/>
    <x v="0"/>
    <x v="0"/>
    <s v="Critical"/>
  </r>
  <r>
    <x v="1"/>
    <n v="2442375"/>
    <n v="87618"/>
    <n v="1846641"/>
    <n v="508116"/>
    <n v="23284"/>
    <n v="614"/>
    <n v="33728"/>
    <n v="3.59"/>
    <n v="75.61"/>
    <s v="4.74"/>
    <n v="2118646"/>
    <n v="323729"/>
    <n v="15.28"/>
    <x v="0"/>
    <n v="3.5874097957930293"/>
    <n v="75.608413941348076"/>
    <n v="20.804176262858899"/>
    <x v="0"/>
    <x v="1"/>
    <s v="Critical"/>
  </r>
  <r>
    <x v="2"/>
    <n v="1480073"/>
    <n v="33408"/>
    <n v="951166"/>
    <n v="495499"/>
    <n v="44457"/>
    <n v="637"/>
    <n v="33598"/>
    <n v="2.2599999999999998"/>
    <n v="64.260000000000005"/>
    <s v="3.51"/>
    <n v="1155338"/>
    <n v="324735"/>
    <n v="28.11"/>
    <x v="1"/>
    <n v="2.2571859631247917"/>
    <n v="64.264803154979518"/>
    <n v="33.478010881895692"/>
    <x v="0"/>
    <x v="2"/>
    <s v="Critical"/>
  </r>
  <r>
    <x v="3"/>
    <n v="816680"/>
    <n v="13334"/>
    <n v="602249"/>
    <n v="201097"/>
    <n v="5607"/>
    <n v="85"/>
    <n v="3077"/>
    <n v="1.63"/>
    <n v="73.739999999999995"/>
    <s v="2.21"/>
    <n v="776212"/>
    <n v="40468"/>
    <n v="5.21"/>
    <x v="2"/>
    <n v="1.6327080374197971"/>
    <n v="73.74357153352598"/>
    <n v="24.62372042905422"/>
    <x v="0"/>
    <x v="3"/>
    <s v="Critical"/>
  </r>
  <r>
    <x v="4"/>
    <n v="452529"/>
    <n v="7067"/>
    <n v="274925"/>
    <n v="170537"/>
    <n v="7096"/>
    <n v="298"/>
    <n v="9848"/>
    <n v="1.56"/>
    <n v="60.75"/>
    <s v="2.57"/>
    <n v="373628"/>
    <n v="78901"/>
    <n v="21.12"/>
    <x v="3"/>
    <n v="1.5616678710093719"/>
    <n v="60.753012514115113"/>
    <n v="37.68531961487551"/>
    <x v="0"/>
    <x v="4"/>
    <s v="Critical"/>
  </r>
  <r>
    <x v="5"/>
    <n v="395489"/>
    <n v="44022"/>
    <n v="303810"/>
    <n v="47657"/>
    <n v="4973"/>
    <n v="342"/>
    <n v="8588"/>
    <n v="11.13"/>
    <n v="76.819999999999993"/>
    <s v="14.49"/>
    <n v="349396"/>
    <n v="46093"/>
    <n v="13.19"/>
    <x v="0"/>
    <n v="11.131030193001576"/>
    <n v="76.818824290941095"/>
    <n v="12.050145516057336"/>
    <x v="0"/>
    <x v="5"/>
    <s v="Critical"/>
  </r>
  <r>
    <x v="6"/>
    <n v="389717"/>
    <n v="18418"/>
    <n v="272547"/>
    <n v="98752"/>
    <n v="13756"/>
    <n v="575"/>
    <n v="4697"/>
    <n v="4.7300000000000004"/>
    <n v="69.930000000000007"/>
    <s v="6.76"/>
    <n v="357681"/>
    <n v="32036"/>
    <n v="8.9600000000000009"/>
    <x v="0"/>
    <n v="4.7259934773181564"/>
    <n v="69.934593564047759"/>
    <n v="25.339412958634082"/>
    <x v="0"/>
    <x v="6"/>
    <s v="Critical"/>
  </r>
  <r>
    <x v="7"/>
    <n v="347923"/>
    <n v="9187"/>
    <n v="319954"/>
    <n v="18782"/>
    <n v="2133"/>
    <n v="75"/>
    <n v="1859"/>
    <n v="2.64"/>
    <n v="91.96"/>
    <s v="2.87"/>
    <n v="333029"/>
    <n v="14894"/>
    <n v="4.47"/>
    <x v="0"/>
    <n v="2.6405267832250239"/>
    <n v="91.961152323933746"/>
    <n v="5.3983208928412321"/>
    <x v="0"/>
    <x v="7"/>
    <s v="Critical"/>
  </r>
  <r>
    <x v="8"/>
    <n v="301708"/>
    <n v="45844"/>
    <n v="1437"/>
    <n v="254427"/>
    <n v="688"/>
    <n v="7"/>
    <n v="3"/>
    <n v="15.19"/>
    <n v="0.48"/>
    <s v="3190.26"/>
    <n v="296944"/>
    <n v="4764"/>
    <n v="1.6"/>
    <x v="2"/>
    <n v="15.194824134593713"/>
    <n v="0.47628833176448754"/>
    <n v="84.32888753364179"/>
    <x v="0"/>
    <x v="8"/>
    <s v="Critical"/>
  </r>
  <r>
    <x v="9"/>
    <n v="293606"/>
    <n v="15912"/>
    <n v="255144"/>
    <n v="22550"/>
    <n v="2434"/>
    <n v="212"/>
    <n v="1931"/>
    <n v="5.42"/>
    <n v="86.9"/>
    <s v="6.24"/>
    <n v="276202"/>
    <n v="17404"/>
    <n v="6.3"/>
    <x v="4"/>
    <n v="5.4195077757266539"/>
    <n v="86.900131468702952"/>
    <n v="7.6803607555703906"/>
    <x v="0"/>
    <x v="9"/>
    <s v="Critical"/>
  </r>
  <r>
    <x v="10"/>
    <n v="274289"/>
    <n v="5842"/>
    <n v="241026"/>
    <n v="27421"/>
    <n v="1176"/>
    <n v="20"/>
    <n v="3592"/>
    <n v="2.13"/>
    <n v="87.87"/>
    <s v="2.42"/>
    <n v="266096"/>
    <n v="8193"/>
    <n v="3.08"/>
    <x v="4"/>
    <n v="2.1298703192618005"/>
    <n v="87.873009854569446"/>
    <n v="9.9971198261687491"/>
    <x v="0"/>
    <x v="10"/>
    <s v="Critical"/>
  </r>
  <r>
    <x v="11"/>
    <n v="272421"/>
    <n v="28432"/>
    <n v="150376"/>
    <n v="93613"/>
    <n v="0"/>
    <n v="0"/>
    <n v="0"/>
    <n v="10.44"/>
    <n v="55.2"/>
    <s v="18.91"/>
    <n v="264836"/>
    <n v="7585"/>
    <n v="2.86"/>
    <x v="2"/>
    <n v="10.436787178668311"/>
    <n v="55.199856105072662"/>
    <n v="34.363356716259027"/>
    <x v="1"/>
    <x v="11"/>
    <s v="Critical"/>
  </r>
  <r>
    <x v="12"/>
    <n v="268934"/>
    <n v="2760"/>
    <n v="222936"/>
    <n v="43238"/>
    <n v="1993"/>
    <n v="27"/>
    <n v="2613"/>
    <n v="1.03"/>
    <n v="82.9"/>
    <s v="1.24"/>
    <n v="253349"/>
    <n v="15585"/>
    <n v="6.15"/>
    <x v="4"/>
    <n v="1.0262741044271086"/>
    <n v="82.89617526976879"/>
    <n v="16.077550625804101"/>
    <x v="0"/>
    <x v="12"/>
    <s v="Critical"/>
  </r>
  <r>
    <x v="13"/>
    <n v="257101"/>
    <n v="8777"/>
    <n v="131161"/>
    <n v="117163"/>
    <n v="16306"/>
    <n v="508"/>
    <n v="11494"/>
    <n v="3.41"/>
    <n v="51.02"/>
    <s v="6.69"/>
    <n v="204005"/>
    <n v="53096"/>
    <n v="26.03"/>
    <x v="0"/>
    <n v="3.4138334740043796"/>
    <n v="51.015359722443712"/>
    <n v="45.57080680355191"/>
    <x v="0"/>
    <x v="13"/>
    <s v="Critical"/>
  </r>
  <r>
    <x v="14"/>
    <n v="246286"/>
    <n v="35112"/>
    <n v="198593"/>
    <n v="12581"/>
    <n v="168"/>
    <n v="5"/>
    <n v="147"/>
    <n v="14.26"/>
    <n v="80.64"/>
    <s v="17.68"/>
    <n v="244624"/>
    <n v="1662"/>
    <n v="0.68"/>
    <x v="2"/>
    <n v="14.256595990027854"/>
    <n v="80.635115272488079"/>
    <n v="5.1082887374840631"/>
    <x v="1"/>
    <x v="14"/>
    <s v="Critical"/>
  </r>
  <r>
    <x v="15"/>
    <n v="227019"/>
    <n v="5630"/>
    <n v="210469"/>
    <n v="10920"/>
    <n v="919"/>
    <n v="17"/>
    <n v="982"/>
    <n v="2.48"/>
    <n v="92.71"/>
    <s v="2.67"/>
    <n v="220572"/>
    <n v="6447"/>
    <n v="2.92"/>
    <x v="2"/>
    <n v="2.4799686369863316"/>
    <n v="92.709861289143205"/>
    <n v="4.8101700738704691"/>
    <x v="0"/>
    <x v="15"/>
    <s v="Critical"/>
  </r>
  <r>
    <x v="16"/>
    <n v="226225"/>
    <n v="2965"/>
    <n v="125683"/>
    <n v="97577"/>
    <n v="2772"/>
    <n v="37"/>
    <n v="1801"/>
    <n v="1.31"/>
    <n v="55.56"/>
    <s v="2.36"/>
    <n v="207453"/>
    <n v="18772"/>
    <n v="9.0500000000000007"/>
    <x v="1"/>
    <n v="1.310642059896121"/>
    <n v="55.556636092385901"/>
    <n v="43.132721847717981"/>
    <x v="0"/>
    <x v="16"/>
    <s v="Critical"/>
  </r>
  <r>
    <x v="17"/>
    <n v="220352"/>
    <n v="30212"/>
    <n v="81212"/>
    <n v="108928"/>
    <n v="2551"/>
    <n v="17"/>
    <n v="267"/>
    <n v="13.71"/>
    <n v="36.86"/>
    <s v="37.2"/>
    <n v="214023"/>
    <n v="6329"/>
    <n v="2.96"/>
    <x v="2"/>
    <n v="13.71079000871333"/>
    <n v="36.855576532094105"/>
    <n v="49.433633459192563"/>
    <x v="0"/>
    <x v="17"/>
    <s v="Critical"/>
  </r>
  <r>
    <x v="18"/>
    <n v="207112"/>
    <n v="9125"/>
    <n v="190314"/>
    <n v="7673"/>
    <n v="445"/>
    <n v="1"/>
    <n v="259"/>
    <n v="4.41"/>
    <n v="91.89"/>
    <s v="4.79"/>
    <n v="203325"/>
    <n v="3787"/>
    <n v="1.86"/>
    <x v="2"/>
    <n v="4.4058287303487962"/>
    <n v="91.889412491791873"/>
    <n v="3.7047587778593223"/>
    <x v="1"/>
    <x v="18"/>
    <s v="Critical"/>
  </r>
  <r>
    <x v="19"/>
    <n v="167416"/>
    <n v="3059"/>
    <n v="72575"/>
    <n v="91782"/>
    <n v="4890"/>
    <n v="120"/>
    <n v="2057"/>
    <n v="1.83"/>
    <n v="43.35"/>
    <s v="4.21"/>
    <n v="130774"/>
    <n v="36642"/>
    <n v="28.02"/>
    <x v="0"/>
    <n v="1.827184976346347"/>
    <n v="43.350097959573759"/>
    <n v="54.822717064079896"/>
    <x v="0"/>
    <x v="19"/>
    <s v="Critical"/>
  </r>
  <r>
    <x v="20"/>
    <n v="116458"/>
    <n v="8944"/>
    <n v="0"/>
    <n v="107514"/>
    <n v="682"/>
    <n v="11"/>
    <n v="0"/>
    <n v="7.68"/>
    <n v="0"/>
    <s v="inf"/>
    <n v="112925"/>
    <n v="3533"/>
    <n v="3.13"/>
    <x v="0"/>
    <n v="7.6800219821738303"/>
    <n v="0"/>
    <n v="92.319978017826159"/>
    <x v="0"/>
    <x v="20"/>
    <s v="Critical"/>
  </r>
  <r>
    <x v="21"/>
    <n v="112585"/>
    <n v="4458"/>
    <n v="77144"/>
    <n v="30983"/>
    <n v="2553"/>
    <n v="96"/>
    <n v="1927"/>
    <n v="3.96"/>
    <n v="68.52"/>
    <s v="5.78"/>
    <n v="94693"/>
    <n v="17892"/>
    <n v="18.89"/>
    <x v="4"/>
    <n v="3.9596749122884933"/>
    <n v="68.520673269085577"/>
    <n v="27.519651818625928"/>
    <x v="0"/>
    <x v="21"/>
    <s v="Critical"/>
  </r>
  <r>
    <x v="22"/>
    <n v="109597"/>
    <n v="165"/>
    <n v="106328"/>
    <n v="3104"/>
    <n v="292"/>
    <n v="0"/>
    <n v="304"/>
    <n v="0.15"/>
    <n v="97.02"/>
    <s v="0.16"/>
    <n v="107037"/>
    <n v="2560"/>
    <n v="2.39"/>
    <x v="4"/>
    <n v="0.15055156619250529"/>
    <n v="97.017254121919393"/>
    <n v="2.8321943118880992"/>
    <x v="1"/>
    <x v="22"/>
    <s v="Critical"/>
  </r>
  <r>
    <x v="23"/>
    <n v="100303"/>
    <n v="4838"/>
    <n v="58173"/>
    <n v="37292"/>
    <n v="1525"/>
    <n v="57"/>
    <n v="1518"/>
    <n v="4.82"/>
    <n v="58"/>
    <s v="8.32"/>
    <n v="88214"/>
    <n v="12089"/>
    <n v="13.7"/>
    <x v="1"/>
    <n v="4.8233851430166599"/>
    <n v="57.997268277120327"/>
    <n v="37.179346579863015"/>
    <x v="0"/>
    <x v="23"/>
    <s v="Critical"/>
  </r>
  <r>
    <x v="24"/>
    <n v="92482"/>
    <n v="4652"/>
    <n v="34838"/>
    <n v="52992"/>
    <n v="420"/>
    <n v="46"/>
    <n v="1007"/>
    <n v="5.03"/>
    <n v="37.67"/>
    <s v="13.35"/>
    <n v="88402"/>
    <n v="4080"/>
    <n v="4.62"/>
    <x v="4"/>
    <n v="5.0301680326982545"/>
    <n v="37.670033087519734"/>
    <n v="57.299798879782017"/>
    <x v="0"/>
    <x v="24"/>
    <s v="Critical"/>
  </r>
  <r>
    <x v="25"/>
    <n v="86783"/>
    <n v="4656"/>
    <n v="78869"/>
    <n v="3258"/>
    <n v="213"/>
    <n v="4"/>
    <n v="7"/>
    <n v="5.37"/>
    <n v="90.88"/>
    <s v="5.9"/>
    <n v="85622"/>
    <n v="1161"/>
    <n v="1.36"/>
    <x v="5"/>
    <n v="5.3651060691610111"/>
    <n v="90.880702441722462"/>
    <n v="3.7541914891165318"/>
    <x v="1"/>
    <x v="25"/>
    <s v="Critical"/>
  </r>
  <r>
    <x v="26"/>
    <n v="84648"/>
    <n v="585"/>
    <n v="54404"/>
    <n v="29659"/>
    <n v="1526"/>
    <n v="0"/>
    <n v="1833"/>
    <n v="0.69"/>
    <n v="64.27"/>
    <s v="1.08"/>
    <n v="73468"/>
    <n v="11180"/>
    <n v="15.22"/>
    <x v="2"/>
    <n v="0.69109724978735465"/>
    <n v="64.270862867403835"/>
    <n v="35.03803988280881"/>
    <x v="1"/>
    <x v="26"/>
    <s v="Critical"/>
  </r>
  <r>
    <x v="27"/>
    <n v="82040"/>
    <n v="1945"/>
    <n v="26446"/>
    <n v="53649"/>
    <n v="1592"/>
    <n v="13"/>
    <n v="336"/>
    <n v="2.37"/>
    <n v="32.24"/>
    <s v="7.35"/>
    <n v="68898"/>
    <n v="13142"/>
    <n v="19.07"/>
    <x v="5"/>
    <n v="2.3707947342759628"/>
    <n v="32.235494880546071"/>
    <n v="65.393710385177968"/>
    <x v="0"/>
    <x v="27"/>
    <s v="Critical"/>
  </r>
  <r>
    <x v="28"/>
    <n v="81161"/>
    <n v="5532"/>
    <n v="34896"/>
    <n v="40733"/>
    <n v="467"/>
    <n v="17"/>
    <n v="0"/>
    <n v="6.82"/>
    <n v="43"/>
    <s v="15.85"/>
    <n v="74620"/>
    <n v="6541"/>
    <n v="8.77"/>
    <x v="0"/>
    <n v="6.8160816155542685"/>
    <n v="42.996020256034299"/>
    <n v="50.187898128411433"/>
    <x v="0"/>
    <x v="28"/>
    <s v="Critical"/>
  </r>
  <r>
    <x v="29"/>
    <n v="79395"/>
    <n v="5700"/>
    <n v="0"/>
    <n v="73695"/>
    <n v="398"/>
    <n v="3"/>
    <n v="0"/>
    <n v="7.18"/>
    <n v="0"/>
    <s v="inf"/>
    <n v="78048"/>
    <n v="1347"/>
    <n v="1.73"/>
    <x v="2"/>
    <n v="7.1792934063857921"/>
    <n v="0"/>
    <n v="92.820706593614204"/>
    <x v="1"/>
    <x v="29"/>
    <s v="Critical"/>
  </r>
  <r>
    <x v="30"/>
    <n v="77058"/>
    <n v="393"/>
    <n v="57028"/>
    <n v="19637"/>
    <n v="1053"/>
    <n v="9"/>
    <n v="1729"/>
    <n v="0.51"/>
    <n v="74.010000000000005"/>
    <s v="0.69"/>
    <n v="68400"/>
    <n v="8658"/>
    <n v="12.66"/>
    <x v="4"/>
    <n v="0.51000545043992829"/>
    <n v="74.006592436865731"/>
    <n v="25.483402112694336"/>
    <x v="0"/>
    <x v="30"/>
    <s v="Critical"/>
  </r>
  <r>
    <x v="31"/>
    <n v="71181"/>
    <n v="2647"/>
    <n v="21478"/>
    <n v="47056"/>
    <n v="1752"/>
    <n v="64"/>
    <n v="309"/>
    <n v="3.72"/>
    <n v="30.17"/>
    <s v="12.32"/>
    <n v="60991"/>
    <n v="10190"/>
    <n v="16.71"/>
    <x v="0"/>
    <n v="3.718688975990784"/>
    <n v="30.173782329554232"/>
    <n v="66.10752869445497"/>
    <x v="0"/>
    <x v="31"/>
    <s v="Critical"/>
  </r>
  <r>
    <x v="32"/>
    <n v="67251"/>
    <n v="538"/>
    <n v="60492"/>
    <n v="6221"/>
    <n v="119"/>
    <n v="4"/>
    <n v="67"/>
    <n v="0.8"/>
    <n v="89.95"/>
    <s v="0.89"/>
    <n v="66213"/>
    <n v="1038"/>
    <n v="1.57"/>
    <x v="2"/>
    <n v="0.79998810426610767"/>
    <n v="89.949591827630812"/>
    <n v="9.250420068103077"/>
    <x v="1"/>
    <x v="32"/>
    <s v="Critical"/>
  </r>
  <r>
    <x v="33"/>
    <n v="67096"/>
    <n v="1636"/>
    <n v="37202"/>
    <n v="28258"/>
    <n v="835"/>
    <n v="11"/>
    <n v="317"/>
    <n v="2.44"/>
    <n v="55.45"/>
    <s v="4.4"/>
    <n v="60767"/>
    <n v="6329"/>
    <n v="10.42"/>
    <x v="2"/>
    <n v="2.4382973649695958"/>
    <n v="55.445928222248718"/>
    <n v="42.11577441278169"/>
    <x v="0"/>
    <x v="33"/>
    <s v="Critical"/>
  </r>
  <r>
    <x v="34"/>
    <n v="66428"/>
    <n v="9822"/>
    <n v="17452"/>
    <n v="39154"/>
    <n v="402"/>
    <n v="1"/>
    <n v="14"/>
    <n v="14.79"/>
    <n v="26.27"/>
    <s v="56.28"/>
    <n v="64094"/>
    <n v="2334"/>
    <n v="3.64"/>
    <x v="2"/>
    <n v="14.785933642439936"/>
    <n v="26.272053953152287"/>
    <n v="58.942012404407784"/>
    <x v="1"/>
    <x v="34"/>
    <s v="Critical"/>
  </r>
  <r>
    <x v="35"/>
    <n v="64379"/>
    <n v="438"/>
    <n v="55057"/>
    <n v="8884"/>
    <n v="606"/>
    <n v="5"/>
    <n v="684"/>
    <n v="0.68"/>
    <n v="85.52"/>
    <s v="0.8"/>
    <n v="59763"/>
    <n v="4616"/>
    <n v="7.72"/>
    <x v="4"/>
    <n v="0.68034607558365301"/>
    <n v="85.520123021482163"/>
    <n v="13.799530902934187"/>
    <x v="1"/>
    <x v="35"/>
    <s v="Critical"/>
  </r>
  <r>
    <x v="36"/>
    <n v="64156"/>
    <n v="1083"/>
    <n v="30204"/>
    <n v="32869"/>
    <n v="1248"/>
    <n v="20"/>
    <n v="1601"/>
    <n v="1.69"/>
    <n v="47.08"/>
    <s v="3.59"/>
    <n v="53956"/>
    <n v="10200"/>
    <n v="18.899999999999999"/>
    <x v="0"/>
    <n v="1.688072822495168"/>
    <n v="47.078994949809839"/>
    <n v="51.232932227694995"/>
    <x v="0"/>
    <x v="36"/>
    <s v="Critical"/>
  </r>
  <r>
    <x v="37"/>
    <n v="63985"/>
    <n v="474"/>
    <n v="27133"/>
    <n v="36378"/>
    <n v="2029"/>
    <n v="4"/>
    <n v="108"/>
    <n v="0.74"/>
    <n v="42.41"/>
    <s v="1.75"/>
    <n v="52003"/>
    <n v="11982"/>
    <n v="23.04"/>
    <x v="2"/>
    <n v="0.74079862467765878"/>
    <n v="42.405251230757209"/>
    <n v="56.853950144565133"/>
    <x v="1"/>
    <x v="37"/>
    <s v="Critical"/>
  </r>
  <r>
    <x v="38"/>
    <n v="61442"/>
    <n v="1322"/>
    <n v="35086"/>
    <n v="25034"/>
    <n v="1146"/>
    <n v="28"/>
    <n v="955"/>
    <n v="2.15"/>
    <n v="57.1"/>
    <s v="3.77"/>
    <n v="54426"/>
    <n v="7016"/>
    <n v="12.89"/>
    <x v="0"/>
    <n v="2.1516226685329256"/>
    <n v="57.104260929006209"/>
    <n v="40.744116402460854"/>
    <x v="0"/>
    <x v="38"/>
    <s v="Critical"/>
  </r>
  <r>
    <x v="39"/>
    <n v="59177"/>
    <n v="345"/>
    <n v="52510"/>
    <n v="6322"/>
    <n v="264"/>
    <n v="1"/>
    <n v="328"/>
    <n v="0.57999999999999996"/>
    <n v="88.73"/>
    <s v="0.66"/>
    <n v="57193"/>
    <n v="1984"/>
    <n v="3.47"/>
    <x v="4"/>
    <n v="0.5829967723946804"/>
    <n v="88.733798604187442"/>
    <n v="10.683204623417881"/>
    <x v="1"/>
    <x v="39"/>
    <s v="Critical"/>
  </r>
  <r>
    <x v="40"/>
    <n v="53413"/>
    <n v="6160"/>
    <n v="189"/>
    <n v="47064"/>
    <n v="419"/>
    <n v="1"/>
    <n v="0"/>
    <n v="11.53"/>
    <n v="0.35"/>
    <s v="3259.26"/>
    <n v="52132"/>
    <n v="1281"/>
    <n v="2.46"/>
    <x v="2"/>
    <n v="11.532772920450078"/>
    <n v="0.35384644187744557"/>
    <n v="88.113380637672478"/>
    <x v="1"/>
    <x v="40"/>
    <s v="Critical"/>
  </r>
  <r>
    <x v="41"/>
    <n v="50838"/>
    <n v="27"/>
    <n v="45692"/>
    <n v="5119"/>
    <n v="469"/>
    <n v="0"/>
    <n v="171"/>
    <n v="0.05"/>
    <n v="89.88"/>
    <s v="0.06"/>
    <n v="48035"/>
    <n v="2803"/>
    <n v="5.84"/>
    <x v="5"/>
    <n v="5.3109878437389353E-2"/>
    <n v="89.877650576340528"/>
    <n v="10.069239545222079"/>
    <x v="1"/>
    <x v="41"/>
    <s v="Critical"/>
  </r>
  <r>
    <x v="42"/>
    <n v="50299"/>
    <n v="1719"/>
    <n v="35375"/>
    <n v="13205"/>
    <n v="135"/>
    <n v="2"/>
    <n v="158"/>
    <n v="3.42"/>
    <n v="70.33"/>
    <s v="4.86"/>
    <n v="48771"/>
    <n v="1528"/>
    <n v="3.13"/>
    <x v="2"/>
    <n v="3.417562973418955"/>
    <n v="70.329430008548883"/>
    <n v="26.253007018032164"/>
    <x v="1"/>
    <x v="42"/>
    <s v="Critical"/>
  </r>
  <r>
    <x v="43"/>
    <n v="45902"/>
    <n v="2206"/>
    <n v="25794"/>
    <n v="17902"/>
    <n v="1104"/>
    <n v="19"/>
    <n v="151"/>
    <n v="4.8099999999999996"/>
    <n v="56.19"/>
    <s v="8.55"/>
    <n v="38139"/>
    <n v="7763"/>
    <n v="20.350000000000001"/>
    <x v="2"/>
    <n v="4.8058908108579148"/>
    <n v="56.193629907193589"/>
    <n v="39.0004792819485"/>
    <x v="0"/>
    <x v="43"/>
    <s v="High"/>
  </r>
  <r>
    <x v="44"/>
    <n v="45309"/>
    <n v="1761"/>
    <n v="32455"/>
    <n v="11093"/>
    <n v="256"/>
    <n v="27"/>
    <n v="843"/>
    <n v="3.89"/>
    <n v="71.63"/>
    <s v="5.43"/>
    <n v="39039"/>
    <n v="6270"/>
    <n v="16.059999999999999"/>
    <x v="0"/>
    <n v="3.8866450374097861"/>
    <n v="71.630360414045782"/>
    <n v="24.48299454854444"/>
    <x v="0"/>
    <x v="44"/>
    <s v="High"/>
  </r>
  <r>
    <x v="45"/>
    <n v="43402"/>
    <n v="1676"/>
    <n v="32856"/>
    <n v="8870"/>
    <n v="337"/>
    <n v="5"/>
    <n v="103"/>
    <n v="3.86"/>
    <n v="75.7"/>
    <s v="5.1"/>
    <n v="40383"/>
    <n v="3019"/>
    <n v="7.48"/>
    <x v="2"/>
    <n v="3.8615731993917333"/>
    <n v="75.701580572323863"/>
    <n v="20.436846228284409"/>
    <x v="1"/>
    <x v="45"/>
    <s v="High"/>
  </r>
  <r>
    <x v="46"/>
    <n v="41180"/>
    <n v="860"/>
    <n v="18203"/>
    <n v="22117"/>
    <n v="648"/>
    <n v="2"/>
    <n v="829"/>
    <n v="2.09"/>
    <n v="44.2"/>
    <s v="4.72"/>
    <n v="37225"/>
    <n v="3955"/>
    <n v="10.62"/>
    <x v="3"/>
    <n v="2.0883924235065567"/>
    <n v="44.203496843127731"/>
    <n v="53.708110733365707"/>
    <x v="1"/>
    <x v="46"/>
    <s v="High"/>
  </r>
  <r>
    <x v="47"/>
    <n v="39741"/>
    <n v="1166"/>
    <n v="5039"/>
    <n v="33536"/>
    <n v="465"/>
    <n v="50"/>
    <n v="117"/>
    <n v="2.93"/>
    <n v="12.68"/>
    <s v="23.14"/>
    <n v="34611"/>
    <n v="5130"/>
    <n v="14.82"/>
    <x v="0"/>
    <n v="2.9339976346845829"/>
    <n v="12.679600412672052"/>
    <n v="84.386401952643368"/>
    <x v="0"/>
    <x v="47"/>
    <s v="High"/>
  </r>
  <r>
    <x v="48"/>
    <n v="39482"/>
    <n v="141"/>
    <n v="36110"/>
    <n v="3231"/>
    <n v="351"/>
    <n v="1"/>
    <n v="421"/>
    <n v="0.36"/>
    <n v="91.46"/>
    <s v="0.39"/>
    <n v="36936"/>
    <n v="2546"/>
    <n v="6.89"/>
    <x v="4"/>
    <n v="0.35712476571602247"/>
    <n v="91.459399219897676"/>
    <n v="8.1834760143863026"/>
    <x v="1"/>
    <x v="48"/>
    <s v="High"/>
  </r>
  <r>
    <x v="49"/>
    <n v="37390"/>
    <n v="711"/>
    <n v="26665"/>
    <n v="10014"/>
    <n v="73"/>
    <n v="6"/>
    <n v="187"/>
    <n v="1.9"/>
    <n v="71.319999999999993"/>
    <s v="2.67"/>
    <n v="34981"/>
    <n v="2409"/>
    <n v="6.89"/>
    <x v="2"/>
    <n v="1.9015779620219311"/>
    <n v="71.315859855576363"/>
    <n v="26.782562182401708"/>
    <x v="0"/>
    <x v="49"/>
    <s v="High"/>
  </r>
  <r>
    <x v="50"/>
    <n v="36263"/>
    <n v="1269"/>
    <n v="25198"/>
    <n v="9796"/>
    <n v="106"/>
    <n v="10"/>
    <n v="18"/>
    <n v="3.5"/>
    <n v="69.489999999999995"/>
    <s v="5.04"/>
    <n v="35526"/>
    <n v="737"/>
    <n v="2.0699999999999998"/>
    <x v="4"/>
    <n v="3.499434685492099"/>
    <n v="69.486804732096076"/>
    <n v="27.013760582411823"/>
    <x v="0"/>
    <x v="50"/>
    <s v="High"/>
  </r>
  <r>
    <x v="51"/>
    <n v="34477"/>
    <n v="1978"/>
    <n v="30900"/>
    <n v="1599"/>
    <n v="65"/>
    <n v="1"/>
    <n v="200"/>
    <n v="5.74"/>
    <n v="89.62"/>
    <s v="6.4"/>
    <n v="33634"/>
    <n v="843"/>
    <n v="2.5099999999999998"/>
    <x v="2"/>
    <n v="5.7371581054036023"/>
    <n v="89.624967369550717"/>
    <n v="4.6378745250456825"/>
    <x v="1"/>
    <x v="51"/>
    <s v="High"/>
  </r>
  <r>
    <x v="52"/>
    <n v="33624"/>
    <n v="168"/>
    <n v="29801"/>
    <n v="3655"/>
    <n v="655"/>
    <n v="0"/>
    <n v="307"/>
    <n v="0.5"/>
    <n v="88.63"/>
    <s v="0.56"/>
    <n v="28430"/>
    <n v="5194"/>
    <n v="18.27"/>
    <x v="3"/>
    <n v="0.49964311206281231"/>
    <n v="88.630145134427778"/>
    <n v="10.870211753509398"/>
    <x v="1"/>
    <x v="52"/>
    <s v="High"/>
  </r>
  <r>
    <x v="53"/>
    <n v="33296"/>
    <n v="1301"/>
    <n v="21205"/>
    <n v="10790"/>
    <n v="483"/>
    <n v="24"/>
    <n v="817"/>
    <n v="3.91"/>
    <n v="63.69"/>
    <s v="6.14"/>
    <n v="27143"/>
    <n v="6153"/>
    <n v="22.67"/>
    <x v="2"/>
    <n v="3.9073762614127823"/>
    <n v="63.686328688130715"/>
    <n v="32.406295050456514"/>
    <x v="0"/>
    <x v="53"/>
    <s v="High"/>
  </r>
  <r>
    <x v="54"/>
    <n v="31142"/>
    <n v="998"/>
    <n v="21970"/>
    <n v="8174"/>
    <n v="594"/>
    <n v="0"/>
    <n v="364"/>
    <n v="3.2"/>
    <n v="70.55"/>
    <s v="4.54"/>
    <n v="25706"/>
    <n v="5436"/>
    <n v="21.15"/>
    <x v="5"/>
    <n v="3.2046753580373775"/>
    <n v="70.547813242566306"/>
    <n v="26.247511399396313"/>
    <x v="1"/>
    <x v="54"/>
    <s v="High"/>
  </r>
  <r>
    <x v="55"/>
    <n v="30446"/>
    <n v="423"/>
    <n v="23242"/>
    <n v="6781"/>
    <n v="396"/>
    <n v="6"/>
    <n v="558"/>
    <n v="1.39"/>
    <n v="76.34"/>
    <s v="1.82"/>
    <n v="27890"/>
    <n v="2556"/>
    <n v="9.16"/>
    <x v="2"/>
    <n v="1.389345069959929"/>
    <n v="76.338435262431844"/>
    <n v="22.272219667608226"/>
    <x v="0"/>
    <x v="55"/>
    <s v="High"/>
  </r>
  <r>
    <x v="56"/>
    <n v="27973"/>
    <n v="1163"/>
    <n v="18837"/>
    <n v="7973"/>
    <n v="616"/>
    <n v="8"/>
    <n v="749"/>
    <n v="4.16"/>
    <n v="67.34"/>
    <s v="6.17"/>
    <n v="23691"/>
    <n v="4282"/>
    <n v="18.07"/>
    <x v="3"/>
    <n v="4.1575805240767885"/>
    <n v="67.339934937260921"/>
    <n v="28.50248453866228"/>
    <x v="0"/>
    <x v="56"/>
    <s v="High"/>
  </r>
  <r>
    <x v="57"/>
    <n v="25892"/>
    <n v="1764"/>
    <n v="23364"/>
    <n v="764"/>
    <n v="11"/>
    <n v="0"/>
    <n v="0"/>
    <n v="6.81"/>
    <n v="90.24"/>
    <s v="7.55"/>
    <n v="25766"/>
    <n v="126"/>
    <n v="0.49"/>
    <x v="2"/>
    <n v="6.8129151861578858"/>
    <n v="90.236366445234054"/>
    <n v="2.9507183686080642"/>
    <x v="1"/>
    <x v="57"/>
    <s v="High"/>
  </r>
  <r>
    <x v="58"/>
    <n v="24141"/>
    <n v="543"/>
    <n v="0"/>
    <n v="23598"/>
    <n v="411"/>
    <n v="9"/>
    <n v="0"/>
    <n v="2.25"/>
    <n v="0"/>
    <s v="inf"/>
    <n v="21253"/>
    <n v="2888"/>
    <n v="13.59"/>
    <x v="2"/>
    <n v="2.2492854479930409"/>
    <n v="0"/>
    <n v="97.750714552006954"/>
    <x v="0"/>
    <x v="58"/>
    <s v="High"/>
  </r>
  <r>
    <x v="59"/>
    <n v="23154"/>
    <n v="748"/>
    <n v="16154"/>
    <n v="6252"/>
    <n v="120"/>
    <n v="13"/>
    <n v="245"/>
    <n v="3.23"/>
    <n v="69.77"/>
    <s v="4.63"/>
    <n v="21115"/>
    <n v="2039"/>
    <n v="9.66"/>
    <x v="2"/>
    <n v="3.2305433186490458"/>
    <n v="69.767642739915345"/>
    <n v="27.001813941435604"/>
    <x v="0"/>
    <x v="59"/>
    <s v="High"/>
  </r>
  <r>
    <x v="60"/>
    <n v="21209"/>
    <n v="121"/>
    <n v="11674"/>
    <n v="9414"/>
    <n v="678"/>
    <n v="5"/>
    <n v="569"/>
    <n v="0.56999999999999995"/>
    <n v="55.04"/>
    <s v="1.04"/>
    <n v="17149"/>
    <n v="4060"/>
    <n v="23.67"/>
    <x v="2"/>
    <n v="0.5705125182705455"/>
    <n v="55.042670564383045"/>
    <n v="44.386816917346408"/>
    <x v="1"/>
    <x v="60"/>
    <s v="High"/>
  </r>
  <r>
    <x v="61"/>
    <n v="20887"/>
    <n v="316"/>
    <n v="16553"/>
    <n v="4018"/>
    <n v="609"/>
    <n v="3"/>
    <n v="115"/>
    <n v="1.51"/>
    <n v="79.25"/>
    <s v="1.91"/>
    <n v="17562"/>
    <n v="3325"/>
    <n v="18.93"/>
    <x v="4"/>
    <n v="1.5129027624838416"/>
    <n v="79.250251352515917"/>
    <n v="19.236845885000239"/>
    <x v="1"/>
    <x v="61"/>
    <s v="High"/>
  </r>
  <r>
    <x v="62"/>
    <n v="20558"/>
    <n v="713"/>
    <n v="18246"/>
    <n v="1599"/>
    <n v="86"/>
    <n v="1"/>
    <n v="37"/>
    <n v="3.47"/>
    <n v="88.75"/>
    <s v="3.91"/>
    <n v="19743"/>
    <n v="815"/>
    <n v="4.13"/>
    <x v="2"/>
    <n v="3.4682362097480302"/>
    <n v="88.753769821967126"/>
    <n v="7.7779939682848518"/>
    <x v="1"/>
    <x v="62"/>
    <s v="High"/>
  </r>
  <r>
    <x v="63"/>
    <n v="18752"/>
    <n v="48"/>
    <n v="13754"/>
    <n v="4950"/>
    <n v="139"/>
    <n v="3"/>
    <n v="626"/>
    <n v="0.26"/>
    <n v="73.349999999999994"/>
    <s v="0.35"/>
    <n v="17844"/>
    <n v="908"/>
    <n v="5.09"/>
    <x v="1"/>
    <n v="0.25597269624573377"/>
    <n v="73.346843003412971"/>
    <n v="26.397184300341298"/>
    <x v="1"/>
    <x v="63"/>
    <s v="High"/>
  </r>
  <r>
    <x v="64"/>
    <n v="17975"/>
    <n v="285"/>
    <n v="7833"/>
    <n v="9857"/>
    <n v="372"/>
    <n v="5"/>
    <n v="90"/>
    <n v="1.59"/>
    <n v="43.58"/>
    <s v="3.64"/>
    <n v="13771"/>
    <n v="4204"/>
    <n v="30.53"/>
    <x v="3"/>
    <n v="1.5855354659248957"/>
    <n v="43.577190542420027"/>
    <n v="54.837273991655081"/>
    <x v="1"/>
    <x v="64"/>
    <s v="High"/>
  </r>
  <r>
    <x v="65"/>
    <n v="17110"/>
    <n v="391"/>
    <n v="14539"/>
    <n v="2180"/>
    <n v="402"/>
    <n v="6"/>
    <n v="0"/>
    <n v="2.29"/>
    <n v="84.97"/>
    <s v="2.69"/>
    <n v="16157"/>
    <n v="953"/>
    <n v="5.9"/>
    <x v="3"/>
    <n v="2.2852133255406195"/>
    <n v="84.973699590882518"/>
    <n v="12.741087083576854"/>
    <x v="0"/>
    <x v="65"/>
    <s v="High"/>
  </r>
  <r>
    <x v="66"/>
    <n v="15988"/>
    <n v="146"/>
    <n v="9959"/>
    <n v="5883"/>
    <n v="525"/>
    <n v="4"/>
    <n v="213"/>
    <n v="0.91"/>
    <n v="62.29"/>
    <s v="1.47"/>
    <n v="12334"/>
    <n v="3654"/>
    <n v="29.63"/>
    <x v="0"/>
    <n v="0.91318488866649983"/>
    <n v="62.290467850888163"/>
    <n v="36.79634726044533"/>
    <x v="1"/>
    <x v="66"/>
    <s v="High"/>
  </r>
  <r>
    <x v="67"/>
    <n v="15841"/>
    <n v="115"/>
    <n v="3824"/>
    <n v="11902"/>
    <n v="612"/>
    <n v="11"/>
    <n v="88"/>
    <n v="0.73"/>
    <n v="24.14"/>
    <s v="3.01"/>
    <n v="11534"/>
    <n v="4307"/>
    <n v="37.340000000000003"/>
    <x v="0"/>
    <n v="0.72596426993245378"/>
    <n v="24.139890158449592"/>
    <n v="75.13414557161795"/>
    <x v="0"/>
    <x v="67"/>
    <s v="High"/>
  </r>
  <r>
    <x v="68"/>
    <n v="15655"/>
    <n v="96"/>
    <n v="10361"/>
    <n v="5198"/>
    <n v="59"/>
    <n v="0"/>
    <n v="183"/>
    <n v="0.61"/>
    <n v="66.180000000000007"/>
    <s v="0.93"/>
    <n v="14312"/>
    <n v="1343"/>
    <n v="9.3800000000000008"/>
    <x v="3"/>
    <n v="0.61322261258383903"/>
    <n v="66.183328010220379"/>
    <n v="33.203449377195781"/>
    <x v="1"/>
    <x v="68"/>
    <s v="High"/>
  </r>
  <r>
    <x v="69"/>
    <n v="15516"/>
    <n v="373"/>
    <n v="11428"/>
    <n v="3715"/>
    <n v="192"/>
    <n v="2"/>
    <n v="0"/>
    <n v="2.4"/>
    <n v="73.650000000000006"/>
    <s v="3.26"/>
    <n v="14098"/>
    <n v="1418"/>
    <n v="10.06"/>
    <x v="2"/>
    <n v="2.4039700953854086"/>
    <n v="73.653003351379226"/>
    <n v="23.94302655323537"/>
    <x v="1"/>
    <x v="69"/>
    <s v="High"/>
  </r>
  <r>
    <x v="70"/>
    <n v="15303"/>
    <n v="167"/>
    <n v="9311"/>
    <n v="5825"/>
    <n v="368"/>
    <n v="6"/>
    <n v="137"/>
    <n v="1.0900000000000001"/>
    <n v="60.84"/>
    <s v="1.79"/>
    <n v="12428"/>
    <n v="2875"/>
    <n v="23.13"/>
    <x v="5"/>
    <n v="1.0912892896817616"/>
    <n v="60.844278899562177"/>
    <n v="38.064431810756062"/>
    <x v="0"/>
    <x v="70"/>
    <s v="High"/>
  </r>
  <r>
    <x v="71"/>
    <n v="15035"/>
    <n v="408"/>
    <n v="7778"/>
    <n v="6849"/>
    <n v="405"/>
    <n v="8"/>
    <n v="130"/>
    <n v="2.71"/>
    <n v="51.73"/>
    <s v="5.25"/>
    <n v="12207"/>
    <n v="2828"/>
    <n v="23.17"/>
    <x v="0"/>
    <n v="2.7136681077485867"/>
    <n v="51.732623877618892"/>
    <n v="45.553708014632527"/>
    <x v="0"/>
    <x v="71"/>
    <s v="High"/>
  </r>
  <r>
    <x v="72"/>
    <n v="14547"/>
    <n v="228"/>
    <n v="6386"/>
    <n v="7933"/>
    <n v="579"/>
    <n v="5"/>
    <n v="170"/>
    <n v="1.57"/>
    <n v="43.9"/>
    <s v="3.57"/>
    <n v="10207"/>
    <n v="4340"/>
    <n v="42.52"/>
    <x v="3"/>
    <n v="1.5673334708187256"/>
    <n v="43.899085722142026"/>
    <n v="54.53358080703925"/>
    <x v="1"/>
    <x v="72"/>
    <s v="High"/>
  </r>
  <r>
    <x v="73"/>
    <n v="14203"/>
    <n v="300"/>
    <n v="13007"/>
    <n v="896"/>
    <n v="28"/>
    <n v="1"/>
    <n v="102"/>
    <n v="2.11"/>
    <n v="91.58"/>
    <s v="2.31"/>
    <n v="13816"/>
    <n v="387"/>
    <n v="2.8"/>
    <x v="5"/>
    <n v="2.1122298106033934"/>
    <n v="91.5792438217278"/>
    <n v="6.3085263676688026"/>
    <x v="1"/>
    <x v="73"/>
    <s v="High"/>
  </r>
  <r>
    <x v="74"/>
    <n v="13761"/>
    <n v="613"/>
    <n v="12605"/>
    <n v="543"/>
    <n v="109"/>
    <n v="0"/>
    <n v="77"/>
    <n v="4.45"/>
    <n v="91.6"/>
    <s v="4.86"/>
    <n v="13453"/>
    <n v="308"/>
    <n v="2.29"/>
    <x v="2"/>
    <n v="4.4546181236828719"/>
    <n v="91.599447714555623"/>
    <n v="3.9459341617614996"/>
    <x v="1"/>
    <x v="74"/>
    <s v="High"/>
  </r>
  <r>
    <x v="75"/>
    <n v="11424"/>
    <n v="720"/>
    <n v="5939"/>
    <n v="4765"/>
    <n v="39"/>
    <n v="3"/>
    <n v="49"/>
    <n v="6.3"/>
    <n v="51.99"/>
    <s v="12.12"/>
    <n v="10992"/>
    <n v="432"/>
    <n v="3.93"/>
    <x v="4"/>
    <n v="6.3025210084033612"/>
    <n v="51.987044817927178"/>
    <n v="41.710434173669469"/>
    <x v="1"/>
    <x v="75"/>
    <s v="High"/>
  </r>
  <r>
    <x v="76"/>
    <n v="10621"/>
    <n v="347"/>
    <n v="5585"/>
    <n v="4689"/>
    <n v="194"/>
    <n v="7"/>
    <n v="230"/>
    <n v="3.27"/>
    <n v="52.58"/>
    <s v="6.21"/>
    <n v="8929"/>
    <n v="1692"/>
    <n v="18.95"/>
    <x v="2"/>
    <n v="3.2671123246398639"/>
    <n v="52.584502400903865"/>
    <n v="44.148385274456267"/>
    <x v="0"/>
    <x v="76"/>
    <s v="High"/>
  </r>
  <r>
    <x v="77"/>
    <n v="10621"/>
    <n v="78"/>
    <n v="3752"/>
    <n v="6791"/>
    <n v="152"/>
    <n v="2"/>
    <n v="0"/>
    <n v="0.73"/>
    <n v="35.33"/>
    <s v="2.08"/>
    <n v="8916"/>
    <n v="1705"/>
    <n v="19.12"/>
    <x v="4"/>
    <n v="0.73439412484700128"/>
    <n v="35.326240466999344"/>
    <n v="63.939365408153662"/>
    <x v="1"/>
    <x v="76"/>
    <s v="High"/>
  </r>
  <r>
    <x v="78"/>
    <n v="10498"/>
    <n v="294"/>
    <n v="4930"/>
    <n v="5274"/>
    <n v="731"/>
    <n v="14"/>
    <n v="375"/>
    <n v="2.8"/>
    <n v="46.96"/>
    <s v="5.96"/>
    <n v="8479"/>
    <n v="2019"/>
    <n v="23.81"/>
    <x v="2"/>
    <n v="2.8005334349399886"/>
    <n v="46.961325966850829"/>
    <n v="50.238140598209178"/>
    <x v="0"/>
    <x v="77"/>
    <s v="High"/>
  </r>
  <r>
    <x v="79"/>
    <n v="10213"/>
    <n v="466"/>
    <n v="5564"/>
    <n v="4183"/>
    <n v="127"/>
    <n v="6"/>
    <n v="137"/>
    <n v="4.5599999999999996"/>
    <n v="54.48"/>
    <s v="8.38"/>
    <n v="9249"/>
    <n v="964"/>
    <n v="10.42"/>
    <x v="2"/>
    <n v="4.562812102222658"/>
    <n v="54.479584842847352"/>
    <n v="40.95760305492999"/>
    <x v="0"/>
    <x v="78"/>
    <s v="High"/>
  </r>
  <r>
    <x v="80"/>
    <n v="9764"/>
    <n v="194"/>
    <n v="6477"/>
    <n v="3093"/>
    <n v="83"/>
    <n v="3"/>
    <n v="68"/>
    <n v="1.99"/>
    <n v="66.34"/>
    <s v="3.0"/>
    <n v="8948"/>
    <n v="816"/>
    <n v="9.1199999999999992"/>
    <x v="3"/>
    <n v="1.9868906185989348"/>
    <n v="66.335518230233518"/>
    <n v="31.677591151167555"/>
    <x v="1"/>
    <x v="79"/>
    <s v="Moderate"/>
  </r>
  <r>
    <x v="81"/>
    <n v="9690"/>
    <n v="91"/>
    <n v="6260"/>
    <n v="3339"/>
    <n v="395"/>
    <n v="6"/>
    <n v="681"/>
    <n v="0.94"/>
    <n v="64.599999999999994"/>
    <s v="1.45"/>
    <n v="7153"/>
    <n v="2537"/>
    <n v="35.47"/>
    <x v="3"/>
    <n v="0.9391124871001032"/>
    <n v="64.602683178534576"/>
    <n v="34.458204334365327"/>
    <x v="0"/>
    <x v="80"/>
    <s v="Moderate"/>
  </r>
  <r>
    <x v="82"/>
    <n v="9132"/>
    <n v="255"/>
    <n v="8752"/>
    <n v="125"/>
    <n v="15"/>
    <n v="0"/>
    <n v="0"/>
    <n v="2.79"/>
    <n v="95.84"/>
    <s v="2.91"/>
    <n v="9034"/>
    <n v="98"/>
    <n v="1.08"/>
    <x v="2"/>
    <n v="2.7923784494086727"/>
    <n v="95.838808585194926"/>
    <n v="1.3688129653964083"/>
    <x v="1"/>
    <x v="81"/>
    <s v="Moderate"/>
  </r>
  <r>
    <x v="83"/>
    <n v="8904"/>
    <n v="124"/>
    <n v="8601"/>
    <n v="179"/>
    <n v="7"/>
    <n v="0"/>
    <n v="1"/>
    <n v="1.39"/>
    <n v="96.6"/>
    <s v="1.44"/>
    <n v="8800"/>
    <n v="104"/>
    <n v="1.18"/>
    <x v="5"/>
    <n v="1.3926325247079965"/>
    <n v="96.597035040431265"/>
    <n v="2.0103324348607368"/>
    <x v="1"/>
    <x v="82"/>
    <s v="Moderate"/>
  </r>
  <r>
    <x v="84"/>
    <n v="8844"/>
    <n v="208"/>
    <n v="5700"/>
    <n v="2936"/>
    <n v="13"/>
    <n v="4"/>
    <n v="190"/>
    <n v="2.35"/>
    <n v="64.45"/>
    <s v="3.65"/>
    <n v="8443"/>
    <n v="401"/>
    <n v="4.75"/>
    <x v="3"/>
    <n v="2.3518769787426503"/>
    <n v="64.450474898236081"/>
    <n v="33.197648123021253"/>
    <x v="1"/>
    <x v="83"/>
    <s v="Moderate"/>
  </r>
  <r>
    <x v="85"/>
    <n v="7413"/>
    <n v="185"/>
    <n v="4027"/>
    <n v="3201"/>
    <n v="496"/>
    <n v="16"/>
    <n v="274"/>
    <n v="2.5"/>
    <n v="54.32"/>
    <s v="4.59"/>
    <n v="5877"/>
    <n v="1536"/>
    <n v="26.14"/>
    <x v="2"/>
    <n v="2.4956158100634021"/>
    <n v="54.323485768244971"/>
    <n v="43.180898421691623"/>
    <x v="0"/>
    <x v="84"/>
    <s v="Moderate"/>
  </r>
  <r>
    <x v="86"/>
    <n v="7398"/>
    <n v="329"/>
    <n v="6920"/>
    <n v="149"/>
    <n v="5"/>
    <n v="0"/>
    <n v="0"/>
    <n v="4.45"/>
    <n v="93.54"/>
    <s v="4.75"/>
    <n v="7340"/>
    <n v="58"/>
    <n v="0.79"/>
    <x v="2"/>
    <n v="4.4471478778048121"/>
    <n v="93.538794268721276"/>
    <n v="2.0140578534739122"/>
    <x v="1"/>
    <x v="85"/>
    <s v="Moderate"/>
  </r>
  <r>
    <x v="87"/>
    <n v="7340"/>
    <n v="158"/>
    <n v="4365"/>
    <n v="2817"/>
    <n v="25"/>
    <n v="1"/>
    <n v="0"/>
    <n v="2.15"/>
    <n v="59.47"/>
    <s v="3.62"/>
    <n v="7053"/>
    <n v="287"/>
    <n v="4.07"/>
    <x v="0"/>
    <n v="2.1525885558583107"/>
    <n v="59.468664850136243"/>
    <n v="38.378746594005449"/>
    <x v="1"/>
    <x v="86"/>
    <s v="Moderate"/>
  </r>
  <r>
    <x v="88"/>
    <n v="7235"/>
    <n v="60"/>
    <n v="6028"/>
    <n v="1147"/>
    <n v="43"/>
    <n v="1"/>
    <n v="58"/>
    <n v="0.83"/>
    <n v="83.32"/>
    <s v="1.0"/>
    <n v="6921"/>
    <n v="314"/>
    <n v="4.54"/>
    <x v="2"/>
    <n v="0.82930200414651001"/>
    <n v="83.317208016586036"/>
    <n v="15.853489979267449"/>
    <x v="1"/>
    <x v="87"/>
    <s v="Moderate"/>
  </r>
  <r>
    <x v="89"/>
    <n v="7189"/>
    <n v="49"/>
    <n v="4682"/>
    <n v="2458"/>
    <n v="205"/>
    <n v="0"/>
    <n v="219"/>
    <n v="0.68"/>
    <n v="65.13"/>
    <s v="1.05"/>
    <n v="6433"/>
    <n v="756"/>
    <n v="11.75"/>
    <x v="3"/>
    <n v="0.6815968841285297"/>
    <n v="65.127277785505626"/>
    <n v="34.191125330365836"/>
    <x v="1"/>
    <x v="88"/>
    <s v="Moderate"/>
  </r>
  <r>
    <x v="90"/>
    <n v="7055"/>
    <n v="45"/>
    <n v="6257"/>
    <n v="753"/>
    <n v="47"/>
    <n v="2"/>
    <n v="105"/>
    <n v="0.64"/>
    <n v="88.69"/>
    <s v="0.72"/>
    <n v="6590"/>
    <n v="465"/>
    <n v="7.06"/>
    <x v="3"/>
    <n v="0.6378454996456413"/>
    <n v="88.6888731396173"/>
    <n v="10.673281360737066"/>
    <x v="1"/>
    <x v="89"/>
    <s v="Moderate"/>
  </r>
  <r>
    <x v="91"/>
    <n v="6321"/>
    <n v="112"/>
    <n v="4825"/>
    <n v="1384"/>
    <n v="49"/>
    <n v="0"/>
    <n v="178"/>
    <n v="1.77"/>
    <n v="76.33"/>
    <s v="2.32"/>
    <n v="5639"/>
    <n v="682"/>
    <n v="12.09"/>
    <x v="2"/>
    <n v="1.7718715393133997"/>
    <n v="76.332858724885298"/>
    <n v="21.8952697358013"/>
    <x v="1"/>
    <x v="90"/>
    <s v="Moderate"/>
  </r>
  <r>
    <x v="92"/>
    <n v="6208"/>
    <n v="156"/>
    <n v="4653"/>
    <n v="1399"/>
    <n v="37"/>
    <n v="0"/>
    <n v="223"/>
    <n v="2.5099999999999998"/>
    <n v="74.95"/>
    <s v="3.35"/>
    <n v="5923"/>
    <n v="285"/>
    <n v="4.8099999999999996"/>
    <x v="3"/>
    <n v="2.5128865979381443"/>
    <n v="74.951675257731949"/>
    <n v="22.535438144329898"/>
    <x v="1"/>
    <x v="91"/>
    <s v="Moderate"/>
  </r>
  <r>
    <x v="93"/>
    <n v="5059"/>
    <n v="58"/>
    <n v="4977"/>
    <n v="24"/>
    <n v="9"/>
    <n v="0"/>
    <n v="11"/>
    <n v="1.1499999999999999"/>
    <n v="98.38"/>
    <s v="1.17"/>
    <n v="5020"/>
    <n v="39"/>
    <n v="0.78"/>
    <x v="4"/>
    <n v="1.1464716347104171"/>
    <n v="98.379126309547331"/>
    <n v="0.47440205574224154"/>
    <x v="1"/>
    <x v="92"/>
    <s v="Moderate"/>
  </r>
  <r>
    <x v="94"/>
    <n v="4881"/>
    <n v="139"/>
    <n v="3936"/>
    <n v="806"/>
    <n v="24"/>
    <n v="3"/>
    <n v="70"/>
    <n v="2.85"/>
    <n v="80.64"/>
    <s v="3.53"/>
    <n v="4370"/>
    <n v="511"/>
    <n v="11.69"/>
    <x v="2"/>
    <n v="2.8477770948576113"/>
    <n v="80.639213275968032"/>
    <n v="16.513009629174348"/>
    <x v="1"/>
    <x v="93"/>
    <s v="Low"/>
  </r>
  <r>
    <x v="95"/>
    <n v="4880"/>
    <n v="144"/>
    <n v="2745"/>
    <n v="1991"/>
    <n v="117"/>
    <n v="6"/>
    <n v="63"/>
    <n v="2.95"/>
    <n v="56.25"/>
    <s v="5.25"/>
    <n v="4171"/>
    <n v="709"/>
    <n v="17"/>
    <x v="2"/>
    <n v="2.9508196721311477"/>
    <n v="56.25"/>
    <n v="40.799180327868854"/>
    <x v="0"/>
    <x v="94"/>
    <s v="Low"/>
  </r>
  <r>
    <x v="96"/>
    <n v="4599"/>
    <n v="59"/>
    <n v="1546"/>
    <n v="2994"/>
    <n v="0"/>
    <n v="0"/>
    <n v="0"/>
    <n v="1.28"/>
    <n v="33.619999999999997"/>
    <s v="3.82"/>
    <n v="4548"/>
    <n v="51"/>
    <n v="1.1200000000000001"/>
    <x v="3"/>
    <n v="1.2828875842574472"/>
    <n v="33.616003479017174"/>
    <n v="65.101108936725367"/>
    <x v="1"/>
    <x v="95"/>
    <s v="Low"/>
  </r>
  <r>
    <x v="97"/>
    <n v="4552"/>
    <n v="140"/>
    <n v="2815"/>
    <n v="1597"/>
    <n v="71"/>
    <n v="1"/>
    <n v="465"/>
    <n v="3.08"/>
    <n v="61.84"/>
    <s v="4.97"/>
    <n v="3326"/>
    <n v="1226"/>
    <n v="36.86"/>
    <x v="3"/>
    <n v="3.0755711775043935"/>
    <n v="61.840949033391915"/>
    <n v="35.083479789103691"/>
    <x v="1"/>
    <x v="96"/>
    <s v="Low"/>
  </r>
  <r>
    <x v="98"/>
    <n v="4548"/>
    <n v="43"/>
    <n v="2905"/>
    <n v="1600"/>
    <n v="104"/>
    <n v="2"/>
    <n v="111"/>
    <n v="0.95"/>
    <n v="63.87"/>
    <s v="1.48"/>
    <n v="3748"/>
    <n v="800"/>
    <n v="21.34"/>
    <x v="0"/>
    <n v="0.94547053649956025"/>
    <n v="63.874230430958669"/>
    <n v="35.180299032541775"/>
    <x v="1"/>
    <x v="97"/>
    <s v="Low"/>
  </r>
  <r>
    <x v="99"/>
    <n v="4448"/>
    <n v="596"/>
    <n v="3329"/>
    <n v="523"/>
    <n v="13"/>
    <n v="0"/>
    <n v="0"/>
    <n v="13.4"/>
    <n v="74.84"/>
    <s v="17.9"/>
    <n v="4339"/>
    <n v="109"/>
    <n v="2.5099999999999998"/>
    <x v="2"/>
    <n v="13.399280575539569"/>
    <n v="74.842625899280577"/>
    <n v="11.758093525179856"/>
    <x v="1"/>
    <x v="98"/>
    <s v="Low"/>
  </r>
  <r>
    <x v="100"/>
    <n v="4227"/>
    <n v="202"/>
    <n v="1374"/>
    <n v="2651"/>
    <n v="34"/>
    <n v="0"/>
    <n v="0"/>
    <n v="4.78"/>
    <n v="32.51"/>
    <s v="14.7"/>
    <n v="4012"/>
    <n v="215"/>
    <n v="5.36"/>
    <x v="2"/>
    <n v="4.7788029335225923"/>
    <n v="32.505322924059612"/>
    <n v="62.715874142417796"/>
    <x v="1"/>
    <x v="99"/>
    <s v="Low"/>
  </r>
  <r>
    <x v="101"/>
    <n v="3882"/>
    <n v="51"/>
    <n v="1709"/>
    <n v="2122"/>
    <n v="132"/>
    <n v="0"/>
    <n v="17"/>
    <n v="1.31"/>
    <n v="44.02"/>
    <s v="2.98"/>
    <n v="2905"/>
    <n v="977"/>
    <n v="33.630000000000003"/>
    <x v="4"/>
    <n v="1.313755795981453"/>
    <n v="44.023699124162803"/>
    <n v="54.66254507985574"/>
    <x v="1"/>
    <x v="100"/>
    <s v="Low"/>
  </r>
  <r>
    <x v="102"/>
    <n v="3664"/>
    <n v="99"/>
    <n v="1645"/>
    <n v="1920"/>
    <n v="24"/>
    <n v="0"/>
    <n v="6"/>
    <n v="2.7"/>
    <n v="44.9"/>
    <s v="6.02"/>
    <n v="2992"/>
    <n v="672"/>
    <n v="22.46"/>
    <x v="3"/>
    <n v="2.7019650655021836"/>
    <n v="44.896288209606986"/>
    <n v="52.401746724890828"/>
    <x v="1"/>
    <x v="101"/>
    <s v="Low"/>
  </r>
  <r>
    <x v="103"/>
    <n v="3439"/>
    <n v="108"/>
    <n v="2492"/>
    <n v="839"/>
    <n v="0"/>
    <n v="0"/>
    <n v="0"/>
    <n v="3.14"/>
    <n v="72.459999999999994"/>
    <s v="4.33"/>
    <n v="3147"/>
    <n v="292"/>
    <n v="9.2799999999999994"/>
    <x v="0"/>
    <n v="3.1404478045943587"/>
    <n v="72.462925268973549"/>
    <n v="24.396626926432102"/>
    <x v="1"/>
    <x v="102"/>
    <s v="Low"/>
  </r>
  <r>
    <x v="104"/>
    <n v="3369"/>
    <n v="15"/>
    <n v="2547"/>
    <n v="807"/>
    <n v="67"/>
    <n v="0"/>
    <n v="19"/>
    <n v="0.45"/>
    <n v="75.599999999999994"/>
    <s v="0.59"/>
    <n v="2999"/>
    <n v="370"/>
    <n v="12.34"/>
    <x v="1"/>
    <n v="0.44523597506678536"/>
    <n v="75.60106856634016"/>
    <n v="23.953695458593057"/>
    <x v="1"/>
    <x v="103"/>
    <s v="Low"/>
  </r>
  <r>
    <x v="105"/>
    <n v="3297"/>
    <n v="58"/>
    <n v="3111"/>
    <n v="128"/>
    <n v="6"/>
    <n v="0"/>
    <n v="2"/>
    <n v="1.76"/>
    <n v="94.36"/>
    <s v="1.86"/>
    <n v="3250"/>
    <n v="47"/>
    <n v="1.45"/>
    <x v="1"/>
    <n v="1.7591750075826509"/>
    <n v="94.358507734303913"/>
    <n v="3.8823172581134364"/>
    <x v="1"/>
    <x v="104"/>
    <s v="Low"/>
  </r>
  <r>
    <x v="106"/>
    <n v="3200"/>
    <n v="54"/>
    <n v="829"/>
    <n v="2317"/>
    <n v="162"/>
    <n v="3"/>
    <n v="73"/>
    <n v="1.69"/>
    <n v="25.91"/>
    <s v="6.51"/>
    <n v="2851"/>
    <n v="349"/>
    <n v="12.24"/>
    <x v="3"/>
    <n v="1.6875"/>
    <n v="25.906249999999996"/>
    <n v="72.40625"/>
    <x v="1"/>
    <x v="105"/>
    <s v="Low"/>
  </r>
  <r>
    <x v="107"/>
    <n v="3196"/>
    <n v="93"/>
    <n v="1543"/>
    <n v="1560"/>
    <n v="18"/>
    <n v="0"/>
    <n v="22"/>
    <n v="2.91"/>
    <n v="48.28"/>
    <s v="6.03"/>
    <n v="3130"/>
    <n v="66"/>
    <n v="2.11"/>
    <x v="4"/>
    <n v="2.9098873591989989"/>
    <n v="48.279098873591991"/>
    <n v="48.811013767209012"/>
    <x v="1"/>
    <x v="106"/>
    <s v="Low"/>
  </r>
  <r>
    <x v="108"/>
    <n v="3071"/>
    <n v="51"/>
    <n v="842"/>
    <n v="2178"/>
    <n v="0"/>
    <n v="0"/>
    <n v="0"/>
    <n v="1.66"/>
    <n v="27.42"/>
    <s v="6.06"/>
    <n v="3071"/>
    <n v="0"/>
    <n v="0"/>
    <x v="3"/>
    <n v="1.6606968414197329"/>
    <n v="27.417779225008143"/>
    <n v="70.921523933572132"/>
    <x v="1"/>
    <x v="107"/>
    <s v="Low"/>
  </r>
  <r>
    <x v="109"/>
    <n v="2893"/>
    <n v="45"/>
    <n v="809"/>
    <n v="2039"/>
    <n v="94"/>
    <n v="2"/>
    <n v="70"/>
    <n v="1.56"/>
    <n v="27.96"/>
    <s v="5.56"/>
    <n v="2188"/>
    <n v="705"/>
    <n v="32.22"/>
    <x v="2"/>
    <n v="1.5554787417905289"/>
    <n v="27.964051157967507"/>
    <n v="70.480470100241959"/>
    <x v="1"/>
    <x v="108"/>
    <s v="Low"/>
  </r>
  <r>
    <x v="110"/>
    <n v="2827"/>
    <n v="64"/>
    <n v="577"/>
    <n v="2186"/>
    <n v="158"/>
    <n v="4"/>
    <n v="24"/>
    <n v="2.2599999999999998"/>
    <n v="20.41"/>
    <s v="11.09"/>
    <n v="1980"/>
    <n v="847"/>
    <n v="42.78"/>
    <x v="4"/>
    <n v="2.2638839759462326"/>
    <n v="20.410328970640254"/>
    <n v="77.325787053413507"/>
    <x v="1"/>
    <x v="109"/>
    <s v="Low"/>
  </r>
  <r>
    <x v="111"/>
    <n v="2805"/>
    <n v="11"/>
    <n v="2121"/>
    <n v="673"/>
    <n v="23"/>
    <n v="0"/>
    <n v="15"/>
    <n v="0.39"/>
    <n v="75.61"/>
    <s v="0.52"/>
    <n v="2730"/>
    <n v="75"/>
    <n v="2.75"/>
    <x v="1"/>
    <n v="0.39215686274509803"/>
    <n v="75.61497326203208"/>
    <n v="23.992869875222816"/>
    <x v="1"/>
    <x v="110"/>
    <s v="Low"/>
  </r>
  <r>
    <x v="112"/>
    <n v="2704"/>
    <n v="36"/>
    <n v="542"/>
    <n v="2126"/>
    <n v="192"/>
    <n v="2"/>
    <n v="24"/>
    <n v="1.33"/>
    <n v="20.04"/>
    <s v="6.64"/>
    <n v="1713"/>
    <n v="991"/>
    <n v="57.85"/>
    <x v="3"/>
    <n v="1.3313609467455623"/>
    <n v="20.04437869822485"/>
    <n v="78.624260355029591"/>
    <x v="1"/>
    <x v="111"/>
    <s v="Low"/>
  </r>
  <r>
    <x v="113"/>
    <n v="2532"/>
    <n v="87"/>
    <n v="2351"/>
    <n v="94"/>
    <n v="37"/>
    <n v="0"/>
    <n v="2"/>
    <n v="3.44"/>
    <n v="92.85"/>
    <s v="3.7"/>
    <n v="2446"/>
    <n v="86"/>
    <n v="3.52"/>
    <x v="0"/>
    <n v="3.4360189573459716"/>
    <n v="92.851500789889414"/>
    <n v="3.7124802527646126"/>
    <x v="1"/>
    <x v="112"/>
    <s v="Low"/>
  </r>
  <r>
    <x v="114"/>
    <n v="2513"/>
    <n v="124"/>
    <n v="1913"/>
    <n v="476"/>
    <n v="3"/>
    <n v="1"/>
    <n v="2"/>
    <n v="4.93"/>
    <n v="76.12"/>
    <s v="6.48"/>
    <n v="2475"/>
    <n v="38"/>
    <n v="1.54"/>
    <x v="3"/>
    <n v="4.9343414245921213"/>
    <n v="76.124154397134902"/>
    <n v="18.941504178272979"/>
    <x v="1"/>
    <x v="113"/>
    <s v="Low"/>
  </r>
  <r>
    <x v="115"/>
    <n v="2328"/>
    <n v="22"/>
    <n v="1550"/>
    <n v="756"/>
    <n v="21"/>
    <n v="0"/>
    <n v="103"/>
    <n v="0.95"/>
    <n v="66.58"/>
    <s v="1.42"/>
    <n v="2071"/>
    <n v="257"/>
    <n v="12.41"/>
    <x v="3"/>
    <n v="0.94501718213058417"/>
    <n v="66.580756013745699"/>
    <n v="32.47422680412371"/>
    <x v="1"/>
    <x v="114"/>
    <s v="Low"/>
  </r>
  <r>
    <x v="116"/>
    <n v="2316"/>
    <n v="34"/>
    <n v="1025"/>
    <n v="1257"/>
    <n v="109"/>
    <n v="2"/>
    <n v="39"/>
    <n v="1.47"/>
    <n v="44.26"/>
    <s v="3.32"/>
    <n v="1826"/>
    <n v="490"/>
    <n v="26.83"/>
    <x v="3"/>
    <n v="1.468048359240069"/>
    <n v="44.2573402417962"/>
    <n v="54.274611398963735"/>
    <x v="1"/>
    <x v="115"/>
    <s v="Low"/>
  </r>
  <r>
    <x v="117"/>
    <n v="2305"/>
    <n v="46"/>
    <n v="1175"/>
    <n v="1084"/>
    <n v="43"/>
    <n v="1"/>
    <n v="0"/>
    <n v="2"/>
    <n v="50.98"/>
    <s v="3.91"/>
    <n v="2211"/>
    <n v="94"/>
    <n v="4.25"/>
    <x v="3"/>
    <n v="1.9956616052060738"/>
    <n v="50.97613882863341"/>
    <n v="47.028199566160524"/>
    <x v="1"/>
    <x v="116"/>
    <s v="Low"/>
  </r>
  <r>
    <x v="118"/>
    <n v="2181"/>
    <n v="28"/>
    <n v="1616"/>
    <n v="537"/>
    <n v="2"/>
    <n v="0"/>
    <n v="39"/>
    <n v="1.28"/>
    <n v="74.09"/>
    <s v="1.73"/>
    <n v="1980"/>
    <n v="201"/>
    <n v="10.15"/>
    <x v="2"/>
    <n v="1.2838147638697845"/>
    <n v="74.094452086198999"/>
    <n v="24.621733149931224"/>
    <x v="1"/>
    <x v="117"/>
    <s v="Low"/>
  </r>
  <r>
    <x v="119"/>
    <n v="2087"/>
    <n v="116"/>
    <n v="1733"/>
    <n v="238"/>
    <n v="5"/>
    <n v="0"/>
    <n v="55"/>
    <n v="5.56"/>
    <n v="83.04"/>
    <s v="6.69"/>
    <n v="1953"/>
    <n v="134"/>
    <n v="6.86"/>
    <x v="2"/>
    <n v="5.5582175371346434"/>
    <n v="83.037853378054621"/>
    <n v="11.403929084810734"/>
    <x v="1"/>
    <x v="118"/>
    <s v="Low"/>
  </r>
  <r>
    <x v="120"/>
    <n v="2034"/>
    <n v="69"/>
    <n v="1923"/>
    <n v="42"/>
    <n v="0"/>
    <n v="0"/>
    <n v="1"/>
    <n v="3.39"/>
    <n v="94.54"/>
    <s v="3.59"/>
    <n v="2021"/>
    <n v="13"/>
    <n v="0.64"/>
    <x v="2"/>
    <n v="3.3923303834808261"/>
    <n v="94.542772861356923"/>
    <n v="2.0648967551622417"/>
    <x v="1"/>
    <x v="119"/>
    <s v="Low"/>
  </r>
  <r>
    <x v="121"/>
    <n v="2019"/>
    <n v="80"/>
    <n v="1620"/>
    <n v="319"/>
    <n v="11"/>
    <n v="0"/>
    <n v="4"/>
    <n v="3.96"/>
    <n v="80.239999999999995"/>
    <s v="4.94"/>
    <n v="1947"/>
    <n v="72"/>
    <n v="3.7"/>
    <x v="2"/>
    <n v="3.96235760277365"/>
    <n v="80.237741456166418"/>
    <n v="15.79990094105993"/>
    <x v="1"/>
    <x v="120"/>
    <s v="Low"/>
  </r>
  <r>
    <x v="122"/>
    <n v="1954"/>
    <n v="26"/>
    <n v="803"/>
    <n v="1125"/>
    <n v="0"/>
    <n v="0"/>
    <n v="0"/>
    <n v="1.33"/>
    <n v="41.1"/>
    <s v="3.24"/>
    <n v="1949"/>
    <n v="5"/>
    <n v="0.26"/>
    <x v="3"/>
    <n v="1.3306038894575232"/>
    <n v="41.095189355168884"/>
    <n v="57.574206755373595"/>
    <x v="1"/>
    <x v="121"/>
    <s v="Low"/>
  </r>
  <r>
    <x v="123"/>
    <n v="1879"/>
    <n v="5"/>
    <n v="975"/>
    <n v="899"/>
    <n v="58"/>
    <n v="0"/>
    <n v="57"/>
    <n v="0.27"/>
    <n v="51.89"/>
    <s v="0.51"/>
    <n v="1629"/>
    <n v="250"/>
    <n v="15.35"/>
    <x v="3"/>
    <n v="0.26609898882384247"/>
    <n v="51.889302820649284"/>
    <n v="47.844598190526874"/>
    <x v="1"/>
    <x v="122"/>
    <s v="Low"/>
  </r>
  <r>
    <x v="124"/>
    <n v="1854"/>
    <n v="10"/>
    <n v="1823"/>
    <n v="21"/>
    <n v="7"/>
    <n v="0"/>
    <n v="0"/>
    <n v="0.54"/>
    <n v="98.33"/>
    <s v="0.55"/>
    <n v="1839"/>
    <n v="15"/>
    <n v="0.82"/>
    <x v="2"/>
    <n v="0.53937432578209277"/>
    <n v="98.327939590075502"/>
    <n v="1.1326860841423949"/>
    <x v="1"/>
    <x v="123"/>
    <s v="Low"/>
  </r>
  <r>
    <x v="125"/>
    <n v="1843"/>
    <n v="8"/>
    <n v="101"/>
    <n v="1734"/>
    <n v="68"/>
    <n v="0"/>
    <n v="26"/>
    <n v="0.43"/>
    <n v="5.48"/>
    <s v="7.92"/>
    <n v="1344"/>
    <n v="499"/>
    <n v="37.130000000000003"/>
    <x v="3"/>
    <n v="0.43407487791644062"/>
    <n v="5.480195333695062"/>
    <n v="94.085729788388491"/>
    <x v="1"/>
    <x v="124"/>
    <s v="Low"/>
  </r>
  <r>
    <x v="126"/>
    <n v="1783"/>
    <n v="66"/>
    <n v="1317"/>
    <n v="400"/>
    <n v="0"/>
    <n v="0"/>
    <n v="4"/>
    <n v="3.7"/>
    <n v="73.86"/>
    <s v="5.01"/>
    <n v="1711"/>
    <n v="72"/>
    <n v="4.21"/>
    <x v="3"/>
    <n v="3.7016264722378009"/>
    <n v="73.864273696017946"/>
    <n v="22.434099831744252"/>
    <x v="1"/>
    <x v="125"/>
    <s v="Low"/>
  </r>
  <r>
    <x v="127"/>
    <n v="1770"/>
    <n v="35"/>
    <n v="1036"/>
    <n v="699"/>
    <n v="0"/>
    <n v="0"/>
    <n v="0"/>
    <n v="1.98"/>
    <n v="58.53"/>
    <s v="3.38"/>
    <n v="1602"/>
    <n v="168"/>
    <n v="10.49"/>
    <x v="3"/>
    <n v="1.977401129943503"/>
    <n v="58.531073446327689"/>
    <n v="39.49152542372881"/>
    <x v="1"/>
    <x v="126"/>
    <s v="Low"/>
  </r>
  <r>
    <x v="128"/>
    <n v="1701"/>
    <n v="11"/>
    <n v="0"/>
    <n v="1690"/>
    <n v="32"/>
    <n v="0"/>
    <n v="0"/>
    <n v="0.65"/>
    <n v="0"/>
    <s v="inf"/>
    <n v="1507"/>
    <n v="194"/>
    <n v="12.87"/>
    <x v="3"/>
    <n v="0.64667842445620227"/>
    <n v="0"/>
    <n v="99.353321575543802"/>
    <x v="1"/>
    <x v="127"/>
    <s v="Low"/>
  </r>
  <r>
    <x v="129"/>
    <n v="1691"/>
    <n v="483"/>
    <n v="833"/>
    <n v="375"/>
    <n v="10"/>
    <n v="4"/>
    <n v="36"/>
    <n v="28.56"/>
    <n v="49.26"/>
    <s v="57.98"/>
    <n v="1619"/>
    <n v="72"/>
    <n v="4.45"/>
    <x v="4"/>
    <n v="28.562980484920164"/>
    <n v="49.260792430514485"/>
    <n v="22.176227084565344"/>
    <x v="1"/>
    <x v="128"/>
    <s v="Low"/>
  </r>
  <r>
    <x v="130"/>
    <n v="1557"/>
    <n v="22"/>
    <n v="1514"/>
    <n v="21"/>
    <n v="1"/>
    <n v="0"/>
    <n v="1"/>
    <n v="1.41"/>
    <n v="97.24"/>
    <s v="1.45"/>
    <n v="1555"/>
    <n v="2"/>
    <n v="0.13"/>
    <x v="5"/>
    <n v="1.4129736673089275"/>
    <n v="97.238278741168912"/>
    <n v="1.3487475915221581"/>
    <x v="1"/>
    <x v="129"/>
    <s v="Low"/>
  </r>
  <r>
    <x v="131"/>
    <n v="1483"/>
    <n v="24"/>
    <n v="925"/>
    <n v="534"/>
    <n v="44"/>
    <n v="1"/>
    <n v="35"/>
    <n v="1.62"/>
    <n v="62.37"/>
    <s v="2.59"/>
    <n v="1079"/>
    <n v="404"/>
    <n v="37.44"/>
    <x v="0"/>
    <n v="1.6183412002697235"/>
    <n v="62.37356709372893"/>
    <n v="36.008091706001352"/>
    <x v="1"/>
    <x v="130"/>
    <s v="Low"/>
  </r>
  <r>
    <x v="132"/>
    <n v="1455"/>
    <n v="50"/>
    <n v="1157"/>
    <n v="248"/>
    <n v="3"/>
    <n v="0"/>
    <n v="15"/>
    <n v="3.44"/>
    <n v="79.52"/>
    <s v="4.32"/>
    <n v="1381"/>
    <n v="74"/>
    <n v="5.36"/>
    <x v="4"/>
    <n v="3.4364261168384882"/>
    <n v="79.518900343642613"/>
    <n v="17.0446735395189"/>
    <x v="1"/>
    <x v="131"/>
    <s v="Low"/>
  </r>
  <r>
    <x v="133"/>
    <n v="1219"/>
    <n v="31"/>
    <n v="1045"/>
    <n v="143"/>
    <n v="0"/>
    <n v="0"/>
    <n v="0"/>
    <n v="2.54"/>
    <n v="85.73"/>
    <s v="2.97"/>
    <n v="1192"/>
    <n v="27"/>
    <n v="2.27"/>
    <x v="2"/>
    <n v="2.5430680885972108"/>
    <n v="85.726004922067261"/>
    <n v="11.73092698933552"/>
    <x v="1"/>
    <x v="132"/>
    <s v="Low"/>
  </r>
  <r>
    <x v="134"/>
    <n v="1202"/>
    <n v="35"/>
    <n v="951"/>
    <n v="216"/>
    <n v="10"/>
    <n v="1"/>
    <n v="3"/>
    <n v="2.91"/>
    <n v="79.12"/>
    <s v="3.68"/>
    <n v="1064"/>
    <n v="138"/>
    <n v="12.97"/>
    <x v="0"/>
    <n v="2.9118136439267883"/>
    <n v="79.118136439267886"/>
    <n v="17.970049916805326"/>
    <x v="1"/>
    <x v="133"/>
    <s v="Low"/>
  </r>
  <r>
    <x v="135"/>
    <n v="1176"/>
    <n v="11"/>
    <n v="1041"/>
    <n v="124"/>
    <n v="8"/>
    <n v="0"/>
    <n v="0"/>
    <n v="0.94"/>
    <n v="88.52"/>
    <s v="1.06"/>
    <n v="1223"/>
    <n v="-47"/>
    <n v="-3.84"/>
    <x v="4"/>
    <n v="0.93537414965986398"/>
    <n v="88.520408163265301"/>
    <n v="10.544217687074831"/>
    <x v="1"/>
    <x v="134"/>
    <s v="Low"/>
  </r>
  <r>
    <x v="136"/>
    <n v="1167"/>
    <n v="72"/>
    <n v="646"/>
    <n v="449"/>
    <n v="5"/>
    <n v="0"/>
    <n v="5"/>
    <n v="6.17"/>
    <n v="55.36"/>
    <s v="11.15"/>
    <n v="1107"/>
    <n v="60"/>
    <n v="5.42"/>
    <x v="3"/>
    <n v="6.1696658097686372"/>
    <n v="55.355612682090829"/>
    <n v="38.474721508140533"/>
    <x v="1"/>
    <x v="135"/>
    <s v="Low"/>
  </r>
  <r>
    <x v="137"/>
    <n v="1137"/>
    <n v="16"/>
    <n v="922"/>
    <n v="199"/>
    <n v="6"/>
    <n v="0"/>
    <n v="2"/>
    <n v="1.41"/>
    <n v="81.09"/>
    <s v="1.74"/>
    <n v="1039"/>
    <n v="98"/>
    <n v="9.43"/>
    <x v="2"/>
    <n v="1.4072119613016711"/>
    <n v="81.090589270008792"/>
    <n v="17.502198768689535"/>
    <x v="1"/>
    <x v="136"/>
    <s v="Low"/>
  </r>
  <r>
    <x v="138"/>
    <n v="1132"/>
    <n v="69"/>
    <n v="1027"/>
    <n v="36"/>
    <n v="0"/>
    <n v="0"/>
    <n v="0"/>
    <n v="6.1"/>
    <n v="90.72"/>
    <s v="6.72"/>
    <n v="1105"/>
    <n v="27"/>
    <n v="2.44"/>
    <x v="3"/>
    <n v="6.0954063604240289"/>
    <n v="90.724381625441694"/>
    <n v="3.1802120141342751"/>
    <x v="1"/>
    <x v="137"/>
    <s v="Low"/>
  </r>
  <r>
    <x v="139"/>
    <n v="1128"/>
    <n v="2"/>
    <n v="986"/>
    <n v="140"/>
    <n v="13"/>
    <n v="0"/>
    <n v="4"/>
    <n v="0.18"/>
    <n v="87.41"/>
    <s v="0.2"/>
    <n v="1069"/>
    <n v="59"/>
    <n v="5.52"/>
    <x v="3"/>
    <n v="0.1773049645390071"/>
    <n v="87.411347517730491"/>
    <n v="12.411347517730496"/>
    <x v="1"/>
    <x v="138"/>
    <s v="Low"/>
  </r>
  <r>
    <x v="140"/>
    <n v="1100"/>
    <n v="53"/>
    <n v="926"/>
    <n v="121"/>
    <n v="14"/>
    <n v="0"/>
    <n v="6"/>
    <n v="4.82"/>
    <n v="84.18"/>
    <s v="5.72"/>
    <n v="1065"/>
    <n v="35"/>
    <n v="3.29"/>
    <x v="3"/>
    <n v="4.8181818181818183"/>
    <n v="84.181818181818187"/>
    <n v="11"/>
    <x v="1"/>
    <x v="139"/>
    <s v="Low"/>
  </r>
  <r>
    <x v="141"/>
    <n v="1060"/>
    <n v="19"/>
    <n v="852"/>
    <n v="189"/>
    <n v="3"/>
    <n v="0"/>
    <n v="0"/>
    <n v="1.79"/>
    <n v="80.38"/>
    <s v="2.23"/>
    <n v="1038"/>
    <n v="22"/>
    <n v="2.12"/>
    <x v="2"/>
    <n v="1.7924528301886793"/>
    <n v="80.377358490566039"/>
    <n v="17.830188679245282"/>
    <x v="1"/>
    <x v="140"/>
    <s v="Low"/>
  </r>
  <r>
    <x v="142"/>
    <n v="950"/>
    <n v="41"/>
    <n v="242"/>
    <n v="667"/>
    <n v="18"/>
    <n v="1"/>
    <n v="0"/>
    <n v="4.32"/>
    <n v="25.47"/>
    <s v="16.94"/>
    <n v="749"/>
    <n v="201"/>
    <n v="26.84"/>
    <x v="3"/>
    <n v="4.3157894736842106"/>
    <n v="25.473684210526315"/>
    <n v="70.21052631578948"/>
    <x v="1"/>
    <x v="141"/>
    <s v="Low"/>
  </r>
  <r>
    <x v="143"/>
    <n v="922"/>
    <n v="75"/>
    <n v="810"/>
    <n v="37"/>
    <n v="7"/>
    <n v="0"/>
    <n v="0"/>
    <n v="8.1300000000000008"/>
    <n v="87.85"/>
    <s v="9.26"/>
    <n v="889"/>
    <n v="33"/>
    <n v="3.71"/>
    <x v="3"/>
    <n v="8.1344902386117131"/>
    <n v="87.85249457700651"/>
    <n v="4.0130151843817785"/>
    <x v="1"/>
    <x v="142"/>
    <s v="Low"/>
  </r>
  <r>
    <x v="144"/>
    <n v="907"/>
    <n v="52"/>
    <n v="803"/>
    <n v="52"/>
    <n v="10"/>
    <n v="0"/>
    <n v="0"/>
    <n v="5.73"/>
    <n v="88.53"/>
    <s v="6.48"/>
    <n v="884"/>
    <n v="23"/>
    <n v="2.6"/>
    <x v="2"/>
    <n v="5.7331863285556786"/>
    <n v="88.53362734288865"/>
    <n v="5.7331863285556786"/>
    <x v="1"/>
    <x v="143"/>
    <s v="Low"/>
  </r>
  <r>
    <x v="145"/>
    <n v="874"/>
    <n v="18"/>
    <n v="607"/>
    <n v="249"/>
    <n v="6"/>
    <n v="0"/>
    <n v="8"/>
    <n v="2.06"/>
    <n v="69.45"/>
    <s v="2.97"/>
    <n v="783"/>
    <n v="91"/>
    <n v="11.62"/>
    <x v="3"/>
    <n v="2.0594965675057209"/>
    <n v="69.450800915331811"/>
    <n v="28.489702517162474"/>
    <x v="1"/>
    <x v="144"/>
    <s v="Low"/>
  </r>
  <r>
    <x v="146"/>
    <n v="865"/>
    <n v="14"/>
    <n v="734"/>
    <n v="117"/>
    <n v="2"/>
    <n v="0"/>
    <n v="38"/>
    <n v="1.62"/>
    <n v="84.86"/>
    <s v="1.91"/>
    <n v="746"/>
    <n v="119"/>
    <n v="15.95"/>
    <x v="3"/>
    <n v="1.6184971098265895"/>
    <n v="84.855491329479776"/>
    <n v="13.52601156069364"/>
    <x v="1"/>
    <x v="145"/>
    <s v="Low"/>
  </r>
  <r>
    <x v="147"/>
    <n v="853"/>
    <n v="10"/>
    <n v="714"/>
    <n v="129"/>
    <n v="11"/>
    <n v="0"/>
    <n v="0"/>
    <n v="1.17"/>
    <n v="83.7"/>
    <s v="1.4"/>
    <n v="809"/>
    <n v="44"/>
    <n v="5.44"/>
    <x v="0"/>
    <n v="1.1723329425556859"/>
    <n v="83.704572098475978"/>
    <n v="15.123094958968347"/>
    <x v="1"/>
    <x v="146"/>
    <s v="Low"/>
  </r>
  <r>
    <x v="148"/>
    <n v="739"/>
    <n v="2"/>
    <n v="63"/>
    <n v="674"/>
    <n v="53"/>
    <n v="1"/>
    <n v="11"/>
    <n v="0.27"/>
    <n v="8.5299999999999994"/>
    <s v="3.17"/>
    <n v="522"/>
    <n v="217"/>
    <n v="41.57"/>
    <x v="3"/>
    <n v="0.2706359945872801"/>
    <n v="8.5250338294993231"/>
    <n v="91.204330175913398"/>
    <x v="1"/>
    <x v="147"/>
    <s v="Low"/>
  </r>
  <r>
    <x v="149"/>
    <n v="701"/>
    <n v="9"/>
    <n v="665"/>
    <n v="27"/>
    <n v="1"/>
    <n v="0"/>
    <n v="0"/>
    <n v="1.28"/>
    <n v="94.86"/>
    <s v="1.35"/>
    <n v="677"/>
    <n v="24"/>
    <n v="3.55"/>
    <x v="2"/>
    <n v="1.2838801711840229"/>
    <n v="94.864479315263907"/>
    <n v="3.8516405135520682"/>
    <x v="1"/>
    <x v="148"/>
    <s v="Low"/>
  </r>
  <r>
    <x v="150"/>
    <n v="699"/>
    <n v="42"/>
    <n v="657"/>
    <n v="0"/>
    <n v="0"/>
    <n v="0"/>
    <n v="0"/>
    <n v="6.01"/>
    <n v="93.99"/>
    <s v="6.39"/>
    <n v="699"/>
    <n v="0"/>
    <n v="0"/>
    <x v="2"/>
    <n v="6.0085836909871242"/>
    <n v="93.991416309012877"/>
    <n v="0"/>
    <x v="1"/>
    <x v="149"/>
    <s v="Low"/>
  </r>
  <r>
    <x v="151"/>
    <n v="674"/>
    <n v="40"/>
    <n v="0"/>
    <n v="634"/>
    <n v="24"/>
    <n v="2"/>
    <n v="0"/>
    <n v="5.93"/>
    <n v="0"/>
    <s v="inf"/>
    <n v="522"/>
    <n v="152"/>
    <n v="29.12"/>
    <x v="4"/>
    <n v="5.9347181008902083"/>
    <n v="0"/>
    <n v="94.065281899109792"/>
    <x v="1"/>
    <x v="150"/>
    <s v="Low"/>
  </r>
  <r>
    <x v="152"/>
    <n v="509"/>
    <n v="21"/>
    <n v="183"/>
    <n v="305"/>
    <n v="0"/>
    <n v="0"/>
    <n v="0"/>
    <n v="4.13"/>
    <n v="35.950000000000003"/>
    <s v="11.48"/>
    <n v="509"/>
    <n v="0"/>
    <n v="0"/>
    <x v="3"/>
    <n v="4.1257367387033401"/>
    <n v="35.952848722986246"/>
    <n v="59.921414538310415"/>
    <x v="1"/>
    <x v="151"/>
    <s v="Low"/>
  </r>
  <r>
    <x v="153"/>
    <n v="505"/>
    <n v="12"/>
    <n v="128"/>
    <n v="365"/>
    <n v="0"/>
    <n v="0"/>
    <n v="0"/>
    <n v="2.38"/>
    <n v="25.35"/>
    <s v="9.38"/>
    <n v="359"/>
    <n v="146"/>
    <n v="40.67"/>
    <x v="3"/>
    <n v="2.3762376237623761"/>
    <n v="25.346534653465348"/>
    <n v="72.277227722772281"/>
    <x v="1"/>
    <x v="152"/>
    <s v="Low"/>
  </r>
  <r>
    <x v="154"/>
    <n v="462"/>
    <n v="7"/>
    <n v="440"/>
    <n v="15"/>
    <n v="4"/>
    <n v="0"/>
    <n v="0"/>
    <n v="1.52"/>
    <n v="95.24"/>
    <s v="1.59"/>
    <n v="451"/>
    <n v="11"/>
    <n v="2.44"/>
    <x v="5"/>
    <n v="1.5151515151515151"/>
    <n v="95.238095238095227"/>
    <n v="3.2467532467532463"/>
    <x v="1"/>
    <x v="153"/>
    <s v="Low"/>
  </r>
  <r>
    <x v="155"/>
    <n v="431"/>
    <n v="0"/>
    <n v="365"/>
    <n v="66"/>
    <n v="11"/>
    <n v="0"/>
    <n v="0"/>
    <n v="0"/>
    <n v="84.69"/>
    <s v="0.0"/>
    <n v="384"/>
    <n v="47"/>
    <n v="12.24"/>
    <x v="5"/>
    <n v="0"/>
    <n v="84.686774941995353"/>
    <n v="15.31322505800464"/>
    <x v="1"/>
    <x v="154"/>
    <s v="Low"/>
  </r>
  <r>
    <x v="156"/>
    <n v="389"/>
    <n v="20"/>
    <n v="181"/>
    <n v="188"/>
    <n v="19"/>
    <n v="0"/>
    <n v="0"/>
    <n v="5.14"/>
    <n v="46.53"/>
    <s v="11.05"/>
    <n v="337"/>
    <n v="52"/>
    <n v="15.43"/>
    <x v="0"/>
    <n v="5.1413881748071981"/>
    <n v="46.529562982005139"/>
    <n v="48.329048843187664"/>
    <x v="1"/>
    <x v="155"/>
    <s v="Low"/>
  </r>
  <r>
    <x v="157"/>
    <n v="382"/>
    <n v="11"/>
    <n v="91"/>
    <n v="280"/>
    <n v="40"/>
    <n v="0"/>
    <n v="0"/>
    <n v="2.88"/>
    <n v="23.82"/>
    <s v="12.09"/>
    <n v="174"/>
    <n v="208"/>
    <n v="119.54"/>
    <x v="0"/>
    <n v="2.8795811518324608"/>
    <n v="23.821989528795811"/>
    <n v="73.298429319371721"/>
    <x v="1"/>
    <x v="156"/>
    <s v="Low"/>
  </r>
  <r>
    <x v="158"/>
    <n v="378"/>
    <n v="1"/>
    <n v="301"/>
    <n v="76"/>
    <n v="17"/>
    <n v="0"/>
    <n v="22"/>
    <n v="0.26"/>
    <n v="79.63"/>
    <s v="0.33"/>
    <n v="322"/>
    <n v="56"/>
    <n v="17.39"/>
    <x v="3"/>
    <n v="0.26455026455026454"/>
    <n v="79.629629629629633"/>
    <n v="20.105820105820104"/>
    <x v="1"/>
    <x v="157"/>
    <s v="Low"/>
  </r>
  <r>
    <x v="159"/>
    <n v="354"/>
    <n v="7"/>
    <n v="328"/>
    <n v="19"/>
    <n v="0"/>
    <n v="0"/>
    <n v="0"/>
    <n v="1.98"/>
    <n v="92.66"/>
    <s v="2.13"/>
    <n v="334"/>
    <n v="20"/>
    <n v="5.99"/>
    <x v="3"/>
    <n v="1.977401129943503"/>
    <n v="92.655367231638422"/>
    <n v="5.3672316384180787"/>
    <x v="1"/>
    <x v="158"/>
    <s v="Low"/>
  </r>
  <r>
    <x v="160"/>
    <n v="350"/>
    <n v="6"/>
    <n v="292"/>
    <n v="52"/>
    <n v="0"/>
    <n v="0"/>
    <n v="2"/>
    <n v="1.71"/>
    <n v="83.43"/>
    <s v="2.05"/>
    <n v="341"/>
    <n v="9"/>
    <n v="2.64"/>
    <x v="1"/>
    <n v="1.7142857142857144"/>
    <n v="83.428571428571431"/>
    <n v="14.857142857142858"/>
    <x v="1"/>
    <x v="159"/>
    <s v="Low"/>
  </r>
  <r>
    <x v="161"/>
    <n v="344"/>
    <n v="10"/>
    <n v="332"/>
    <n v="2"/>
    <n v="0"/>
    <n v="0"/>
    <n v="0"/>
    <n v="2.91"/>
    <n v="96.51"/>
    <s v="3.01"/>
    <n v="343"/>
    <n v="1"/>
    <n v="0.28999999999999998"/>
    <x v="3"/>
    <n v="2.9069767441860463"/>
    <n v="96.511627906976756"/>
    <n v="0.58139534883720934"/>
    <x v="1"/>
    <x v="160"/>
    <s v="Low"/>
  </r>
  <r>
    <x v="162"/>
    <n v="326"/>
    <n v="8"/>
    <n v="66"/>
    <n v="252"/>
    <n v="49"/>
    <n v="2"/>
    <n v="6"/>
    <n v="2.4500000000000002"/>
    <n v="20.25"/>
    <s v="12.12"/>
    <n v="112"/>
    <n v="214"/>
    <n v="191.07"/>
    <x v="3"/>
    <n v="2.4539877300613497"/>
    <n v="20.245398773006134"/>
    <n v="77.300613496932513"/>
    <x v="1"/>
    <x v="161"/>
    <s v="Low"/>
  </r>
  <r>
    <x v="163"/>
    <n v="289"/>
    <n v="0"/>
    <n v="222"/>
    <n v="67"/>
    <n v="1"/>
    <n v="0"/>
    <n v="4"/>
    <n v="0"/>
    <n v="76.819999999999993"/>
    <s v="0.0"/>
    <n v="287"/>
    <n v="2"/>
    <n v="0.7"/>
    <x v="5"/>
    <n v="0"/>
    <n v="76.816608996539799"/>
    <n v="23.183391003460208"/>
    <x v="1"/>
    <x v="162"/>
    <s v="Low"/>
  </r>
  <r>
    <x v="164"/>
    <n v="265"/>
    <n v="0"/>
    <n v="191"/>
    <n v="74"/>
    <n v="2"/>
    <n v="0"/>
    <n v="2"/>
    <n v="0"/>
    <n v="72.08"/>
    <s v="0.0"/>
    <n v="251"/>
    <n v="14"/>
    <n v="5.58"/>
    <x v="3"/>
    <n v="0"/>
    <n v="72.075471698113205"/>
    <n v="27.924528301886792"/>
    <x v="1"/>
    <x v="163"/>
    <s v="Low"/>
  </r>
  <r>
    <x v="165"/>
    <n v="226"/>
    <n v="0"/>
    <n v="147"/>
    <n v="79"/>
    <n v="1"/>
    <n v="0"/>
    <n v="4"/>
    <n v="0"/>
    <n v="65.040000000000006"/>
    <s v="0.0"/>
    <n v="171"/>
    <n v="55"/>
    <n v="32.159999999999997"/>
    <x v="5"/>
    <n v="0"/>
    <n v="65.044247787610615"/>
    <n v="34.955752212389378"/>
    <x v="1"/>
    <x v="164"/>
    <s v="Low"/>
  </r>
  <r>
    <x v="166"/>
    <n v="148"/>
    <n v="8"/>
    <n v="128"/>
    <n v="12"/>
    <n v="1"/>
    <n v="0"/>
    <n v="0"/>
    <n v="5.41"/>
    <n v="86.49"/>
    <s v="6.25"/>
    <n v="137"/>
    <n v="11"/>
    <n v="8.0299999999999994"/>
    <x v="0"/>
    <n v="5.4054054054054053"/>
    <n v="86.486486486486484"/>
    <n v="8.1081081081081088"/>
    <x v="1"/>
    <x v="165"/>
    <s v="Low"/>
  </r>
  <r>
    <x v="167"/>
    <n v="141"/>
    <n v="3"/>
    <n v="138"/>
    <n v="0"/>
    <n v="0"/>
    <n v="0"/>
    <n v="0"/>
    <n v="2.13"/>
    <n v="97.87"/>
    <s v="2.17"/>
    <n v="141"/>
    <n v="0"/>
    <n v="0"/>
    <x v="5"/>
    <n v="2.1276595744680851"/>
    <n v="97.872340425531917"/>
    <n v="0"/>
    <x v="1"/>
    <x v="166"/>
    <s v="Low"/>
  </r>
  <r>
    <x v="168"/>
    <n v="116"/>
    <n v="4"/>
    <n v="104"/>
    <n v="8"/>
    <n v="0"/>
    <n v="0"/>
    <n v="0"/>
    <n v="3.45"/>
    <n v="89.66"/>
    <s v="3.85"/>
    <n v="109"/>
    <n v="7"/>
    <n v="6.42"/>
    <x v="2"/>
    <n v="3.4482758620689653"/>
    <n v="89.65517241379311"/>
    <n v="6.8965517241379306"/>
    <x v="1"/>
    <x v="167"/>
    <s v="Low"/>
  </r>
  <r>
    <x v="169"/>
    <n v="114"/>
    <n v="0"/>
    <n v="39"/>
    <n v="75"/>
    <n v="0"/>
    <n v="0"/>
    <n v="0"/>
    <n v="0"/>
    <n v="34.21"/>
    <s v="0.0"/>
    <n v="108"/>
    <n v="6"/>
    <n v="5.56"/>
    <x v="3"/>
    <n v="0"/>
    <n v="34.210526315789473"/>
    <n v="65.789473684210535"/>
    <x v="1"/>
    <x v="168"/>
    <s v="Low"/>
  </r>
  <r>
    <x v="170"/>
    <n v="110"/>
    <n v="7"/>
    <n v="94"/>
    <n v="9"/>
    <n v="0"/>
    <n v="0"/>
    <n v="0"/>
    <n v="6.36"/>
    <n v="85.45"/>
    <s v="7.45"/>
    <n v="106"/>
    <n v="4"/>
    <n v="3.77"/>
    <x v="0"/>
    <n v="6.3636363636363633"/>
    <n v="85.454545454545453"/>
    <n v="8.1818181818181817"/>
    <x v="1"/>
    <x v="169"/>
    <s v="Low"/>
  </r>
  <r>
    <x v="171"/>
    <n v="99"/>
    <n v="0"/>
    <n v="86"/>
    <n v="13"/>
    <n v="4"/>
    <n v="0"/>
    <n v="1"/>
    <n v="0"/>
    <n v="86.87"/>
    <s v="0.0"/>
    <n v="90"/>
    <n v="9"/>
    <n v="10"/>
    <x v="1"/>
    <n v="0"/>
    <n v="86.868686868686879"/>
    <n v="13.131313131313133"/>
    <x v="1"/>
    <x v="170"/>
    <s v="Low"/>
  </r>
  <r>
    <x v="172"/>
    <n v="86"/>
    <n v="3"/>
    <n v="65"/>
    <n v="18"/>
    <n v="4"/>
    <n v="0"/>
    <n v="5"/>
    <n v="3.49"/>
    <n v="75.58"/>
    <s v="4.62"/>
    <n v="76"/>
    <n v="10"/>
    <n v="13.16"/>
    <x v="0"/>
    <n v="3.4883720930232558"/>
    <n v="75.581395348837205"/>
    <n v="20.930232558139537"/>
    <x v="1"/>
    <x v="171"/>
    <s v="Low"/>
  </r>
  <r>
    <x v="173"/>
    <n v="86"/>
    <n v="1"/>
    <n v="81"/>
    <n v="4"/>
    <n v="0"/>
    <n v="0"/>
    <n v="0"/>
    <n v="1.1599999999999999"/>
    <n v="94.19"/>
    <s v="1.23"/>
    <n v="86"/>
    <n v="0"/>
    <n v="0"/>
    <x v="2"/>
    <n v="1.1627906976744187"/>
    <n v="94.186046511627907"/>
    <n v="4.6511627906976747"/>
    <x v="1"/>
    <x v="171"/>
    <s v="Low"/>
  </r>
  <r>
    <x v="174"/>
    <n v="62"/>
    <n v="0"/>
    <n v="11"/>
    <n v="51"/>
    <n v="0"/>
    <n v="0"/>
    <n v="0"/>
    <n v="0"/>
    <n v="17.739999999999998"/>
    <s v="0.0"/>
    <n v="19"/>
    <n v="43"/>
    <n v="226.32"/>
    <x v="5"/>
    <n v="0"/>
    <n v="17.741935483870968"/>
    <n v="82.258064516129039"/>
    <x v="1"/>
    <x v="172"/>
    <s v="Low"/>
  </r>
  <r>
    <x v="175"/>
    <n v="52"/>
    <n v="0"/>
    <n v="39"/>
    <n v="13"/>
    <n v="0"/>
    <n v="0"/>
    <n v="0"/>
    <n v="0"/>
    <n v="75"/>
    <s v="0.0"/>
    <n v="50"/>
    <n v="2"/>
    <n v="4"/>
    <x v="0"/>
    <n v="0"/>
    <n v="75"/>
    <n v="25"/>
    <x v="1"/>
    <x v="173"/>
    <s v="Low"/>
  </r>
  <r>
    <x v="176"/>
    <n v="48"/>
    <n v="2"/>
    <n v="26"/>
    <n v="20"/>
    <n v="0"/>
    <n v="0"/>
    <n v="0"/>
    <n v="4.17"/>
    <n v="54.17"/>
    <s v="7.69"/>
    <n v="40"/>
    <n v="8"/>
    <n v="20"/>
    <x v="0"/>
    <n v="4.1666666666666661"/>
    <n v="54.166666666666664"/>
    <n v="41.666666666666671"/>
    <x v="1"/>
    <x v="174"/>
    <s v="Low"/>
  </r>
  <r>
    <x v="177"/>
    <n v="27"/>
    <n v="0"/>
    <n v="18"/>
    <n v="9"/>
    <n v="0"/>
    <n v="0"/>
    <n v="0"/>
    <n v="0"/>
    <n v="66.67"/>
    <s v="0.0"/>
    <n v="27"/>
    <n v="0"/>
    <n v="0"/>
    <x v="5"/>
    <n v="0"/>
    <n v="66.666666666666657"/>
    <n v="33.333333333333329"/>
    <x v="1"/>
    <x v="175"/>
    <s v="Low"/>
  </r>
  <r>
    <x v="178"/>
    <n v="24"/>
    <n v="0"/>
    <n v="22"/>
    <n v="2"/>
    <n v="0"/>
    <n v="0"/>
    <n v="0"/>
    <n v="0"/>
    <n v="91.67"/>
    <s v="0.0"/>
    <n v="23"/>
    <n v="1"/>
    <n v="4.3499999999999996"/>
    <x v="0"/>
    <n v="0"/>
    <n v="91.666666666666657"/>
    <n v="8.3333333333333321"/>
    <x v="1"/>
    <x v="176"/>
    <s v="Low"/>
  </r>
  <r>
    <x v="179"/>
    <n v="24"/>
    <n v="0"/>
    <n v="0"/>
    <n v="24"/>
    <n v="0"/>
    <n v="0"/>
    <n v="0"/>
    <n v="0"/>
    <n v="0"/>
    <s v="0.0"/>
    <n v="24"/>
    <n v="0"/>
    <n v="0"/>
    <x v="1"/>
    <n v="0"/>
    <n v="0"/>
    <n v="100"/>
    <x v="1"/>
    <x v="176"/>
    <s v="Low"/>
  </r>
  <r>
    <x v="180"/>
    <n v="23"/>
    <n v="0"/>
    <n v="23"/>
    <n v="0"/>
    <n v="0"/>
    <n v="0"/>
    <n v="0"/>
    <n v="0"/>
    <n v="100"/>
    <s v="0.0"/>
    <n v="23"/>
    <n v="0"/>
    <n v="0"/>
    <x v="0"/>
    <n v="0"/>
    <n v="100"/>
    <n v="0"/>
    <x v="1"/>
    <x v="177"/>
    <s v="Low"/>
  </r>
  <r>
    <x v="181"/>
    <n v="20"/>
    <n v="0"/>
    <n v="19"/>
    <n v="1"/>
    <n v="0"/>
    <n v="0"/>
    <n v="0"/>
    <n v="0"/>
    <n v="95"/>
    <s v="0.0"/>
    <n v="19"/>
    <n v="1"/>
    <n v="5.26"/>
    <x v="5"/>
    <n v="0"/>
    <n v="95"/>
    <n v="5"/>
    <x v="1"/>
    <x v="178"/>
    <s v="Low"/>
  </r>
  <r>
    <x v="182"/>
    <n v="18"/>
    <n v="0"/>
    <n v="18"/>
    <n v="0"/>
    <n v="0"/>
    <n v="0"/>
    <n v="0"/>
    <n v="0"/>
    <n v="100"/>
    <s v="0.0"/>
    <n v="18"/>
    <n v="0"/>
    <n v="0"/>
    <x v="0"/>
    <n v="0"/>
    <n v="100"/>
    <n v="0"/>
    <x v="1"/>
    <x v="179"/>
    <s v="Low"/>
  </r>
  <r>
    <x v="183"/>
    <n v="17"/>
    <n v="0"/>
    <n v="15"/>
    <n v="2"/>
    <n v="0"/>
    <n v="0"/>
    <n v="0"/>
    <n v="0"/>
    <n v="88.24"/>
    <s v="0.0"/>
    <n v="17"/>
    <n v="0"/>
    <n v="0"/>
    <x v="0"/>
    <n v="0"/>
    <n v="88.235294117647058"/>
    <n v="11.76470588235294"/>
    <x v="1"/>
    <x v="180"/>
    <s v="Low"/>
  </r>
  <r>
    <x v="184"/>
    <n v="14"/>
    <n v="0"/>
    <n v="13"/>
    <n v="1"/>
    <n v="1"/>
    <n v="0"/>
    <n v="0"/>
    <n v="0"/>
    <n v="92.86"/>
    <s v="0.0"/>
    <n v="13"/>
    <n v="1"/>
    <n v="7.69"/>
    <x v="2"/>
    <n v="0"/>
    <n v="92.857142857142861"/>
    <n v="7.1428571428571423"/>
    <x v="1"/>
    <x v="181"/>
    <s v="Low"/>
  </r>
  <r>
    <x v="185"/>
    <n v="12"/>
    <n v="0"/>
    <n v="12"/>
    <n v="0"/>
    <n v="0"/>
    <n v="0"/>
    <n v="0"/>
    <n v="0"/>
    <n v="100"/>
    <s v="0.0"/>
    <n v="12"/>
    <n v="0"/>
    <n v="0"/>
    <x v="2"/>
    <n v="0"/>
    <n v="100"/>
    <n v="0"/>
    <x v="1"/>
    <x v="182"/>
    <s v="Low"/>
  </r>
  <r>
    <x v="186"/>
    <n v="10"/>
    <n v="1"/>
    <n v="8"/>
    <n v="1"/>
    <n v="0"/>
    <n v="0"/>
    <n v="0"/>
    <n v="10"/>
    <n v="80"/>
    <s v="12.5"/>
    <n v="10"/>
    <n v="0"/>
    <n v="0"/>
    <x v="3"/>
    <n v="10"/>
    <n v="80"/>
    <n v="10"/>
    <x v="1"/>
    <x v="183"/>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07827B-E484-41C0-A0B1-B5095564520F}"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HO Region">
  <location ref="D17:E24"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x="4"/>
        <item x="2"/>
        <item x="1"/>
        <item x="5"/>
        <item t="default"/>
      </items>
    </pivotField>
    <pivotField numFmtId="2" showAll="0"/>
    <pivotField dataField="1" numFmtId="2" showAll="0"/>
    <pivotField numFmtId="2" showAll="0"/>
    <pivotField showAll="0"/>
    <pivotField numFmtId="1" showAll="0"/>
    <pivotField showAll="0"/>
  </pivotFields>
  <rowFields count="1">
    <field x="14"/>
  </rowFields>
  <rowItems count="7">
    <i>
      <x/>
    </i>
    <i>
      <x v="1"/>
    </i>
    <i>
      <x v="2"/>
    </i>
    <i>
      <x v="3"/>
    </i>
    <i>
      <x v="4"/>
    </i>
    <i>
      <x v="5"/>
    </i>
    <i t="grand">
      <x/>
    </i>
  </rowItems>
  <colItems count="1">
    <i/>
  </colItems>
  <dataFields count="1">
    <dataField name="Average of Recovery Rate" fld="16" subtotal="average" baseField="14" baseItem="0" numFmtId="2"/>
  </dataFields>
  <formats count="12">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4" type="button" dataOnly="0" labelOnly="1" outline="0" axis="axisRow" fieldPosition="0"/>
    </format>
    <format dxfId="97">
      <pivotArea dataOnly="0" labelOnly="1" fieldPosition="0">
        <references count="1">
          <reference field="14" count="0"/>
        </references>
      </pivotArea>
    </format>
    <format dxfId="96">
      <pivotArea dataOnly="0" labelOnly="1" grandRow="1" outline="0" fieldPosition="0"/>
    </format>
    <format dxfId="95">
      <pivotArea dataOnly="0" labelOnly="1" outline="0" axis="axisValues" fieldPosition="0"/>
    </format>
    <format dxfId="94">
      <pivotArea field="14" type="button" dataOnly="0" labelOnly="1" outline="0" axis="axisRow" fieldPosition="0"/>
    </format>
    <format dxfId="93">
      <pivotArea dataOnly="0" labelOnly="1" fieldPosition="0">
        <references count="1">
          <reference field="14" count="0"/>
        </references>
      </pivotArea>
    </format>
    <format dxfId="9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00238-A154-4EAB-AC1D-EA4CD22A65E6}" name="PivotTable3"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D3:E13" firstHeaderRow="1" firstDataRow="1" firstDataCol="1"/>
  <pivotFields count="21">
    <pivotField axis="axisRow" showAll="0" measureFilter="1">
      <items count="188">
        <item x="50"/>
        <item x="95"/>
        <item x="56"/>
        <item x="144"/>
        <item x="142"/>
        <item x="172"/>
        <item x="19"/>
        <item x="49"/>
        <item x="70"/>
        <item x="62"/>
        <item x="55"/>
        <item x="157"/>
        <item x="48"/>
        <item x="16"/>
        <item x="170"/>
        <item x="32"/>
        <item x="34"/>
        <item x="176"/>
        <item x="127"/>
        <item x="171"/>
        <item x="31"/>
        <item x="78"/>
        <item x="148"/>
        <item x="1"/>
        <item x="167"/>
        <item x="76"/>
        <item x="140"/>
        <item x="160"/>
        <item x="158"/>
        <item x="115"/>
        <item x="165"/>
        <item x="65"/>
        <item x="20"/>
        <item x="96"/>
        <item x="143"/>
        <item x="7"/>
        <item x="25"/>
        <item x="13"/>
        <item x="159"/>
        <item x="106"/>
        <item x="84"/>
        <item x="67"/>
        <item x="68"/>
        <item x="94"/>
        <item x="113"/>
        <item x="141"/>
        <item x="69"/>
        <item x="74"/>
        <item x="93"/>
        <item x="182"/>
        <item x="36"/>
        <item x="28"/>
        <item x="24"/>
        <item x="71"/>
        <item x="108"/>
        <item x="164"/>
        <item x="120"/>
        <item x="116"/>
        <item x="72"/>
        <item x="177"/>
        <item x="86"/>
        <item x="17"/>
        <item x="89"/>
        <item x="162"/>
        <item x="137"/>
        <item x="18"/>
        <item x="52"/>
        <item x="100"/>
        <item x="184"/>
        <item x="180"/>
        <item x="44"/>
        <item x="90"/>
        <item x="122"/>
        <item x="156"/>
        <item x="87"/>
        <item x="185"/>
        <item x="47"/>
        <item x="99"/>
        <item x="124"/>
        <item x="2"/>
        <item x="23"/>
        <item x="9"/>
        <item x="21"/>
        <item x="57"/>
        <item x="37"/>
        <item x="14"/>
        <item x="147"/>
        <item x="54"/>
        <item x="135"/>
        <item x="26"/>
        <item x="64"/>
        <item x="85"/>
        <item x="35"/>
        <item x="53"/>
        <item x="181"/>
        <item x="133"/>
        <item x="101"/>
        <item x="153"/>
        <item x="136"/>
        <item x="110"/>
        <item x="173"/>
        <item x="121"/>
        <item x="91"/>
        <item x="81"/>
        <item x="102"/>
        <item x="83"/>
        <item x="104"/>
        <item x="114"/>
        <item x="149"/>
        <item x="92"/>
        <item x="161"/>
        <item x="5"/>
        <item x="59"/>
        <item x="168"/>
        <item x="163"/>
        <item x="109"/>
        <item x="61"/>
        <item x="128"/>
        <item x="125"/>
        <item x="63"/>
        <item x="40"/>
        <item x="130"/>
        <item x="103"/>
        <item x="138"/>
        <item x="46"/>
        <item x="79"/>
        <item x="82"/>
        <item x="30"/>
        <item x="10"/>
        <item x="38"/>
        <item x="174"/>
        <item x="98"/>
        <item x="6"/>
        <item x="27"/>
        <item x="45"/>
        <item x="42"/>
        <item x="22"/>
        <item x="43"/>
        <item x="3"/>
        <item x="123"/>
        <item x="183"/>
        <item x="178"/>
        <item x="175"/>
        <item x="150"/>
        <item x="146"/>
        <item x="12"/>
        <item x="80"/>
        <item x="58"/>
        <item x="169"/>
        <item x="126"/>
        <item x="41"/>
        <item x="118"/>
        <item x="119"/>
        <item x="107"/>
        <item x="4"/>
        <item x="73"/>
        <item x="117"/>
        <item x="11"/>
        <item x="111"/>
        <item x="75"/>
        <item x="131"/>
        <item x="29"/>
        <item x="51"/>
        <item x="151"/>
        <item x="154"/>
        <item x="88"/>
        <item x="152"/>
        <item x="105"/>
        <item x="179"/>
        <item x="145"/>
        <item x="166"/>
        <item x="132"/>
        <item x="15"/>
        <item x="139"/>
        <item x="33"/>
        <item x="39"/>
        <item x="8"/>
        <item x="134"/>
        <item x="0"/>
        <item x="60"/>
        <item x="66"/>
        <item x="155"/>
        <item x="77"/>
        <item x="186"/>
        <item x="129"/>
        <item x="97"/>
        <item x="1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0"/>
        <item x="4"/>
        <item x="2"/>
        <item x="1"/>
        <item x="5"/>
        <item t="default"/>
      </items>
    </pivotField>
    <pivotField dataField="1" numFmtId="2" showAll="0"/>
    <pivotField numFmtId="2" showAll="0"/>
    <pivotField numFmtId="2" showAll="0"/>
    <pivotField showAll="0">
      <items count="3">
        <item x="0"/>
        <item x="1"/>
        <item t="default"/>
      </items>
    </pivotField>
    <pivotField numFmtId="1" showAll="0"/>
    <pivotField showAll="0"/>
  </pivotFields>
  <rowFields count="1">
    <field x="0"/>
  </rowFields>
  <rowItems count="10">
    <i>
      <x v="16"/>
    </i>
    <i>
      <x v="61"/>
    </i>
    <i>
      <x v="77"/>
    </i>
    <i>
      <x v="85"/>
    </i>
    <i>
      <x v="111"/>
    </i>
    <i>
      <x v="120"/>
    </i>
    <i>
      <x v="157"/>
    </i>
    <i>
      <x v="176"/>
    </i>
    <i>
      <x v="183"/>
    </i>
    <i>
      <x v="184"/>
    </i>
  </rowItems>
  <colItems count="1">
    <i/>
  </colItems>
  <dataFields count="1">
    <dataField name="Average of Death Rate" fld="15" subtotal="average" baseField="0" baseItem="0" numFmtId="2"/>
  </dataFields>
  <formats count="9">
    <format dxfId="71">
      <pivotArea type="all" dataOnly="0" outline="0" fieldPosition="0"/>
    </format>
    <format dxfId="72">
      <pivotArea outline="0" collapsedLevelsAreSubtotals="1" fieldPosition="0"/>
    </format>
    <format dxfId="73">
      <pivotArea field="0" type="button" dataOnly="0" labelOnly="1" outline="0" axis="axisRow" fieldPosition="0"/>
    </format>
    <format dxfId="74">
      <pivotArea dataOnly="0" labelOnly="1" fieldPosition="0">
        <references count="1">
          <reference field="0" count="10">
            <x v="16"/>
            <x v="61"/>
            <x v="77"/>
            <x v="85"/>
            <x v="111"/>
            <x v="120"/>
            <x v="157"/>
            <x v="176"/>
            <x v="183"/>
            <x v="184"/>
          </reference>
        </references>
      </pivotArea>
    </format>
    <format dxfId="75">
      <pivotArea dataOnly="0" labelOnly="1" grandRow="1" outline="0" fieldPosition="0"/>
    </format>
    <format dxfId="76">
      <pivotArea dataOnly="0" labelOnly="1" outline="0" axis="axisValues" fieldPosition="0"/>
    </format>
    <format dxfId="77">
      <pivotArea field="0" type="button" dataOnly="0" labelOnly="1" outline="0" axis="axisRow" fieldPosition="0"/>
    </format>
    <format dxfId="78">
      <pivotArea dataOnly="0" labelOnly="1" fieldPosition="0">
        <references count="1">
          <reference field="0" count="10">
            <x v="16"/>
            <x v="61"/>
            <x v="77"/>
            <x v="85"/>
            <x v="111"/>
            <x v="120"/>
            <x v="157"/>
            <x v="176"/>
            <x v="183"/>
            <x v="184"/>
          </reference>
        </references>
      </pivotArea>
    </format>
    <format dxfId="79">
      <pivotArea dataOnly="0" labelOnly="1" grandRow="1" outline="0"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C8A8F3-D8A7-4210-B9B6-9EDC4416B44F}"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HO Region">
  <location ref="A17:B24"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x="4"/>
        <item x="2"/>
        <item x="1"/>
        <item x="5"/>
        <item t="default"/>
      </items>
    </pivotField>
    <pivotField numFmtId="2" showAll="0"/>
    <pivotField numFmtId="2" showAll="0"/>
    <pivotField numFmtId="2" showAll="0"/>
    <pivotField showAll="0"/>
    <pivotField numFmtId="1" showAll="0"/>
    <pivotField showAll="0"/>
  </pivotFields>
  <rowFields count="1">
    <field x="14"/>
  </rowFields>
  <rowItems count="7">
    <i>
      <x/>
    </i>
    <i>
      <x v="1"/>
    </i>
    <i>
      <x v="2"/>
    </i>
    <i>
      <x v="3"/>
    </i>
    <i>
      <x v="4"/>
    </i>
    <i>
      <x v="5"/>
    </i>
    <i t="grand">
      <x/>
    </i>
  </rowItems>
  <colItems count="1">
    <i/>
  </colItems>
  <dataFields count="1">
    <dataField name="Sum of Confirmed" fld="1" baseField="0" baseItem="0"/>
  </dataFields>
  <formats count="9">
    <format dxfId="83">
      <pivotArea type="all" dataOnly="0" outline="0" fieldPosition="0"/>
    </format>
    <format dxfId="84">
      <pivotArea outline="0" collapsedLevelsAreSubtotals="1" fieldPosition="0"/>
    </format>
    <format dxfId="85">
      <pivotArea field="14" type="button" dataOnly="0" labelOnly="1" outline="0" axis="axisRow" fieldPosition="0"/>
    </format>
    <format dxfId="86">
      <pivotArea dataOnly="0" labelOnly="1" fieldPosition="0">
        <references count="1">
          <reference field="14" count="0"/>
        </references>
      </pivotArea>
    </format>
    <format dxfId="87">
      <pivotArea dataOnly="0" labelOnly="1" grandRow="1" outline="0" fieldPosition="0"/>
    </format>
    <format dxfId="88">
      <pivotArea dataOnly="0" labelOnly="1" outline="0" axis="axisValues" fieldPosition="0"/>
    </format>
    <format dxfId="89">
      <pivotArea field="14" type="button" dataOnly="0" labelOnly="1" outline="0" axis="axisRow" fieldPosition="0"/>
    </format>
    <format dxfId="90">
      <pivotArea dataOnly="0" labelOnly="1" fieldPosition="0">
        <references count="1">
          <reference field="14" count="0"/>
        </references>
      </pivotArea>
    </format>
    <format dxfId="9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F1FA6-52B4-4EBF-86A9-D3AE20BA2EF5}" name="PivotTable1"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ies">
  <location ref="A3:B13" firstHeaderRow="1" firstDataRow="1" firstDataCol="1"/>
  <pivotFields count="21">
    <pivotField axis="axisRow" showAll="0" measureFilter="1" sortType="descending" defaultSubtotal="0">
      <items count="187">
        <item x="50"/>
        <item x="95"/>
        <item x="56"/>
        <item x="144"/>
        <item x="142"/>
        <item x="172"/>
        <item x="19"/>
        <item x="49"/>
        <item x="70"/>
        <item x="62"/>
        <item x="55"/>
        <item x="157"/>
        <item x="48"/>
        <item x="16"/>
        <item x="170"/>
        <item x="32"/>
        <item x="34"/>
        <item x="176"/>
        <item x="127"/>
        <item x="171"/>
        <item x="31"/>
        <item x="78"/>
        <item x="148"/>
        <item x="1"/>
        <item x="167"/>
        <item x="76"/>
        <item x="140"/>
        <item x="160"/>
        <item x="158"/>
        <item x="115"/>
        <item x="165"/>
        <item x="65"/>
        <item x="20"/>
        <item x="96"/>
        <item x="143"/>
        <item x="7"/>
        <item x="25"/>
        <item x="13"/>
        <item x="159"/>
        <item x="106"/>
        <item x="84"/>
        <item x="67"/>
        <item x="68"/>
        <item x="94"/>
        <item x="113"/>
        <item x="141"/>
        <item x="69"/>
        <item x="74"/>
        <item x="93"/>
        <item x="182"/>
        <item x="36"/>
        <item x="28"/>
        <item x="24"/>
        <item x="71"/>
        <item x="108"/>
        <item x="164"/>
        <item x="120"/>
        <item x="116"/>
        <item x="72"/>
        <item x="177"/>
        <item x="86"/>
        <item x="17"/>
        <item x="89"/>
        <item x="162"/>
        <item x="137"/>
        <item x="18"/>
        <item x="52"/>
        <item x="100"/>
        <item x="184"/>
        <item x="180"/>
        <item x="44"/>
        <item x="90"/>
        <item x="122"/>
        <item x="156"/>
        <item x="87"/>
        <item x="185"/>
        <item x="47"/>
        <item x="99"/>
        <item x="124"/>
        <item x="2"/>
        <item x="23"/>
        <item x="9"/>
        <item x="21"/>
        <item x="57"/>
        <item x="37"/>
        <item x="14"/>
        <item x="147"/>
        <item x="54"/>
        <item x="135"/>
        <item x="26"/>
        <item x="64"/>
        <item x="85"/>
        <item x="35"/>
        <item x="53"/>
        <item x="181"/>
        <item x="133"/>
        <item x="101"/>
        <item x="153"/>
        <item x="136"/>
        <item x="110"/>
        <item x="173"/>
        <item x="121"/>
        <item x="91"/>
        <item x="81"/>
        <item x="102"/>
        <item x="83"/>
        <item x="104"/>
        <item x="114"/>
        <item x="149"/>
        <item x="92"/>
        <item x="161"/>
        <item x="5"/>
        <item x="59"/>
        <item x="168"/>
        <item x="163"/>
        <item x="109"/>
        <item x="61"/>
        <item x="128"/>
        <item x="125"/>
        <item x="63"/>
        <item x="40"/>
        <item x="130"/>
        <item x="103"/>
        <item x="138"/>
        <item x="46"/>
        <item x="79"/>
        <item x="82"/>
        <item x="30"/>
        <item x="10"/>
        <item x="38"/>
        <item x="174"/>
        <item x="98"/>
        <item x="6"/>
        <item x="27"/>
        <item x="45"/>
        <item x="42"/>
        <item x="22"/>
        <item x="43"/>
        <item x="3"/>
        <item x="123"/>
        <item x="183"/>
        <item x="178"/>
        <item x="175"/>
        <item x="150"/>
        <item x="146"/>
        <item x="12"/>
        <item x="80"/>
        <item x="58"/>
        <item x="169"/>
        <item x="126"/>
        <item x="41"/>
        <item x="118"/>
        <item x="119"/>
        <item x="107"/>
        <item x="4"/>
        <item x="73"/>
        <item x="117"/>
        <item x="11"/>
        <item x="111"/>
        <item x="75"/>
        <item x="131"/>
        <item x="29"/>
        <item x="51"/>
        <item x="151"/>
        <item x="154"/>
        <item x="88"/>
        <item x="152"/>
        <item x="105"/>
        <item x="179"/>
        <item x="145"/>
        <item x="166"/>
        <item x="132"/>
        <item x="15"/>
        <item x="139"/>
        <item x="33"/>
        <item x="39"/>
        <item x="8"/>
        <item x="134"/>
        <item x="0"/>
        <item x="60"/>
        <item x="66"/>
        <item x="155"/>
        <item x="77"/>
        <item x="186"/>
        <item x="129"/>
        <item x="97"/>
        <item x="112"/>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0"/>
        <item x="4"/>
        <item x="2"/>
        <item x="1"/>
        <item x="5"/>
        <item t="default"/>
      </items>
    </pivotField>
    <pivotField numFmtId="2" showAll="0"/>
    <pivotField numFmtId="2" showAll="0"/>
    <pivotField numFmtId="2" showAll="0"/>
    <pivotField showAll="0"/>
    <pivotField numFmtId="1" showAll="0"/>
    <pivotField showAll="0"/>
  </pivotFields>
  <rowFields count="1">
    <field x="0"/>
  </rowFields>
  <rowItems count="10">
    <i>
      <x v="178"/>
    </i>
    <i>
      <x v="23"/>
    </i>
    <i>
      <x v="79"/>
    </i>
    <i>
      <x v="138"/>
    </i>
    <i>
      <x v="154"/>
    </i>
    <i>
      <x v="111"/>
    </i>
    <i>
      <x v="132"/>
    </i>
    <i>
      <x v="35"/>
    </i>
    <i>
      <x v="176"/>
    </i>
    <i>
      <x v="81"/>
    </i>
  </rowItems>
  <colItems count="1">
    <i/>
  </colItems>
  <dataFields count="1">
    <dataField name="Sum of Confirmed" fld="1" baseField="0" baseItem="0"/>
  </dataFields>
  <formats count="6">
    <format dxfId="81">
      <pivotArea field="0" type="button" dataOnly="0" labelOnly="1" outline="0" axis="axisRow" fieldPosition="0"/>
    </format>
    <format dxfId="82">
      <pivotArea dataOnly="0" labelOnly="1" outline="0" axis="axisValues" fieldPosition="0"/>
    </format>
    <format dxfId="70">
      <pivotArea dataOnly="0" labelOnly="1" fieldPosition="0">
        <references count="1">
          <reference field="0" count="0"/>
        </references>
      </pivotArea>
    </format>
    <format dxfId="3">
      <pivotArea outline="0" collapsedLevelsAreSubtotals="1" fieldPosition="0"/>
    </format>
    <format dxfId="1">
      <pivotArea dataOnly="0" labelOnly="1" fieldPosition="0">
        <references count="1">
          <reference field="0" count="10">
            <x v="23"/>
            <x v="35"/>
            <x v="79"/>
            <x v="81"/>
            <x v="111"/>
            <x v="132"/>
            <x v="138"/>
            <x v="154"/>
            <x v="176"/>
            <x v="178"/>
          </reference>
        </references>
      </pivotArea>
    </format>
    <format dxfId="0">
      <pivotArea dataOnly="0" labelOnly="1" fieldPosition="0">
        <references count="1">
          <reference field="0" count="10">
            <x v="23"/>
            <x v="35"/>
            <x v="79"/>
            <x v="81"/>
            <x v="111"/>
            <x v="132"/>
            <x v="138"/>
            <x v="154"/>
            <x v="176"/>
            <x v="178"/>
          </reference>
        </references>
      </pivotArea>
    </format>
  </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477285F-BC81-4099-A781-D8375E04D680}" autoFormatId="16" applyNumberFormats="0" applyBorderFormats="0" applyFontFormats="0" applyPatternFormats="0" applyAlignmentFormats="0" applyWidthHeightFormats="0">
  <queryTableRefresh nextId="16">
    <queryTableFields count="15">
      <queryTableField id="1" name="Country/Region" tableColumnId="1"/>
      <queryTableField id="2" name="Confirmed" tableColumnId="2"/>
      <queryTableField id="3" name="Deaths" tableColumnId="3"/>
      <queryTableField id="4" name="Recovered" tableColumnId="4"/>
      <queryTableField id="5" name="Active" tableColumnId="5"/>
      <queryTableField id="6" name="New cases" tableColumnId="6"/>
      <queryTableField id="7" name="New deaths" tableColumnId="7"/>
      <queryTableField id="8" name="New recovered" tableColumnId="8"/>
      <queryTableField id="9" name="Deaths / 100 Cases" tableColumnId="9"/>
      <queryTableField id="10" name="Recovered / 100 Cases" tableColumnId="10"/>
      <queryTableField id="11" name="Deaths / 100 Recovered" tableColumnId="11"/>
      <queryTableField id="12" name="Confirmed last week" tableColumnId="12"/>
      <queryTableField id="13" name="1 week change" tableColumnId="13"/>
      <queryTableField id="14" name="1 week % increase" tableColumnId="14"/>
      <queryTableField id="15" name="WHO Region"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F9F5245-D94B-46AC-AF3A-F304C7304AE3}" autoFormatId="16" applyNumberFormats="0" applyBorderFormats="0" applyFontFormats="0" applyPatternFormats="0" applyAlignmentFormats="0" applyWidthHeightFormats="0">
  <queryTableRefresh nextId="23" unboundColumnsRight="6">
    <queryTableFields count="21">
      <queryTableField id="1" name="Country/Region" tableColumnId="1"/>
      <queryTableField id="2" name="Confirmed" tableColumnId="2"/>
      <queryTableField id="3" name="Deaths" tableColumnId="3"/>
      <queryTableField id="4" name="Recovered" tableColumnId="4"/>
      <queryTableField id="5" name="Active" tableColumnId="5"/>
      <queryTableField id="6" name="New cases" tableColumnId="6"/>
      <queryTableField id="7" name="New deaths" tableColumnId="7"/>
      <queryTableField id="8" name="New recovered" tableColumnId="8"/>
      <queryTableField id="9" name="Deaths / 100 Cases" tableColumnId="9"/>
      <queryTableField id="10" name="Recovered / 100 Cases" tableColumnId="10"/>
      <queryTableField id="11" name="Deaths / 100 Recovered" tableColumnId="11"/>
      <queryTableField id="12" name="Confirmed last week" tableColumnId="12"/>
      <queryTableField id="13" name="1 week change" tableColumnId="13"/>
      <queryTableField id="14" name="1 week % increase" tableColumnId="14"/>
      <queryTableField id="15" name="WHO Region" tableColumnId="15"/>
      <queryTableField id="16" dataBound="0" tableColumnId="16"/>
      <queryTableField id="17" dataBound="0" tableColumnId="17"/>
      <queryTableField id="18" dataBound="0" tableColumnId="18"/>
      <queryTableField id="19" dataBound="0" tableColumnId="19"/>
      <queryTableField id="20" dataBound="0" tableColumnId="21"/>
      <queryTableField id="21"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O_Region" xr10:uid="{AAAA388E-026F-43CB-A477-77555A52DA5A}" sourceName="WHO Region">
  <pivotTables>
    <pivotTable tabId="6" name="PivotTable3"/>
    <pivotTable tabId="6" name="PivotTable1"/>
    <pivotTable tabId="6" name="PivotTable2"/>
    <pivotTable tabId="6" name="PivotTable4"/>
  </pivotTables>
  <data>
    <tabular pivotCacheId="1599265281">
      <items count="6">
        <i x="3" s="1"/>
        <i x="0" s="1"/>
        <i x="4"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O Region" xr10:uid="{1C260477-6DA6-4281-BFAB-56350E3E5562}" cache="Slicer_WHO_Region" caption="WHO 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37A6CC-F75F-4AB6-A19F-FFA5F23CEE4B}" name="country_wise_latest3" displayName="country_wise_latest3" ref="A1:O188" tableType="queryTable" totalsRowShown="0">
  <autoFilter ref="A1:O188" xr:uid="{4ACBEB4D-1510-44E3-968F-32B6495A4158}"/>
  <tableColumns count="15">
    <tableColumn id="1" xr3:uid="{FCE96F21-7CC8-4EEF-8288-B142C36582F2}" uniqueName="1" name="Country/Region" queryTableFieldId="1" dataDxfId="113"/>
    <tableColumn id="2" xr3:uid="{7A7E6029-F918-4BF5-9F6D-7B2017553C93}" uniqueName="2" name="Confirmed" queryTableFieldId="2"/>
    <tableColumn id="3" xr3:uid="{9E84ED1C-A483-4F46-BE27-90974311BBE8}" uniqueName="3" name="Deaths" queryTableFieldId="3"/>
    <tableColumn id="4" xr3:uid="{819BDB7F-3820-4651-B324-007DE7FB9A29}" uniqueName="4" name="Recovered" queryTableFieldId="4"/>
    <tableColumn id="5" xr3:uid="{4BED3BF4-6E08-4746-877F-DDEA6236A758}" uniqueName="5" name="Active" queryTableFieldId="5"/>
    <tableColumn id="6" xr3:uid="{FE4CB972-C3B5-4C71-B589-3DFB3926C6C7}" uniqueName="6" name="New cases" queryTableFieldId="6"/>
    <tableColumn id="7" xr3:uid="{B12E3E1F-9847-4413-8BF7-739F16FDB91D}" uniqueName="7" name="New deaths" queryTableFieldId="7"/>
    <tableColumn id="8" xr3:uid="{2DEE66EE-D256-45E0-809A-FF3288B6C3B0}" uniqueName="8" name="New recovered" queryTableFieldId="8"/>
    <tableColumn id="9" xr3:uid="{3B9397EB-FA25-4FF7-B173-81ADCE6D9450}" uniqueName="9" name="Deaths / 100 Cases" queryTableFieldId="9"/>
    <tableColumn id="10" xr3:uid="{A3B2E83F-17FD-4B89-B9C7-85BC393A7AA3}" uniqueName="10" name="Recovered / 100 Cases" queryTableFieldId="10"/>
    <tableColumn id="11" xr3:uid="{59CC62DE-56F0-4B43-9152-15E2A6FECC9C}" uniqueName="11" name="Deaths / 100 Recovered" queryTableFieldId="11" dataDxfId="112"/>
    <tableColumn id="12" xr3:uid="{4A3350B6-BED6-4495-B74B-637075E9A2C3}" uniqueName="12" name="Confirmed last week" queryTableFieldId="12"/>
    <tableColumn id="13" xr3:uid="{25B501D5-9302-4A09-B843-79F86ECC474F}" uniqueName="13" name="1 week change" queryTableFieldId="13"/>
    <tableColumn id="14" xr3:uid="{200A1917-372E-49C8-9A60-18620A4C6822}" uniqueName="14" name="1 week % increase" queryTableFieldId="14"/>
    <tableColumn id="15" xr3:uid="{0A534DEF-8F61-4F32-B4AA-7861F8951004}" uniqueName="15" name="WHO Region" queryTableFieldId="15" dataDxfId="1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CBEB4D-1510-44E3-968F-32B6495A4158}" name="covid_data" displayName="covid_data" ref="A1:U188" tableType="queryTable" totalsRowShown="0">
  <autoFilter ref="A1:U188" xr:uid="{4ACBEB4D-1510-44E3-968F-32B6495A4158}"/>
  <sortState xmlns:xlrd2="http://schemas.microsoft.com/office/spreadsheetml/2017/richdata2" ref="A2:U188">
    <sortCondition ref="T1:T188"/>
  </sortState>
  <tableColumns count="21">
    <tableColumn id="1" xr3:uid="{09C8FC53-2ADE-4F40-BCF7-3A9AF67445EC}" uniqueName="1" name="Country/Region" queryTableFieldId="1" dataDxfId="80"/>
    <tableColumn id="2" xr3:uid="{6986F6BC-3023-4532-AC8C-6587F4C3DDFD}" uniqueName="2" name="Confirmed" queryTableFieldId="2"/>
    <tableColumn id="3" xr3:uid="{94D5E320-916D-4251-8BC4-B85C4DC47862}" uniqueName="3" name="Deaths" queryTableFieldId="3"/>
    <tableColumn id="4" xr3:uid="{347803ED-C97D-4A59-A644-1CCD4D014792}" uniqueName="4" name="Recovered" queryTableFieldId="4"/>
    <tableColumn id="5" xr3:uid="{7EE3DFB9-7B6C-4D86-A96A-A7629DE53894}" uniqueName="5" name="Active" queryTableFieldId="5"/>
    <tableColumn id="6" xr3:uid="{DCFF4B5C-5199-4DA3-B75E-554213A97298}" uniqueName="6" name="New cases" queryTableFieldId="6"/>
    <tableColumn id="7" xr3:uid="{3478E1D8-AD55-4C10-A6CE-84AFC18ED356}" uniqueName="7" name="New deaths" queryTableFieldId="7"/>
    <tableColumn id="8" xr3:uid="{E952FD54-16C1-40E6-83C5-F42EA2CF68A5}" uniqueName="8" name="New recovered" queryTableFieldId="8"/>
    <tableColumn id="9" xr3:uid="{0FAAE358-B77E-4D47-8FCF-72F8CD74EDBD}" uniqueName="9" name="Deaths / 100 Cases" queryTableFieldId="9"/>
    <tableColumn id="10" xr3:uid="{C6B9256E-18A3-4CEC-8380-5E8557C1483C}" uniqueName="10" name="Recovered / 100 Cases" queryTableFieldId="10"/>
    <tableColumn id="11" xr3:uid="{174A3D70-FD2F-4BC6-856C-E01E2B95A65D}" uniqueName="11" name="Deaths / 100 Recovered" queryTableFieldId="11" dataDxfId="110"/>
    <tableColumn id="12" xr3:uid="{8397BF2A-9E31-4414-9E56-9977EF261704}" uniqueName="12" name="Confirmed last week" queryTableFieldId="12"/>
    <tableColumn id="13" xr3:uid="{6B567245-6ECB-437F-8C96-69FB1EF76E57}" uniqueName="13" name="1 week change" queryTableFieldId="13"/>
    <tableColumn id="14" xr3:uid="{9DEFED99-0358-4248-A8F7-E6E99A6C3013}" uniqueName="14" name="1 week % increase" queryTableFieldId="14"/>
    <tableColumn id="15" xr3:uid="{6BCD47ED-8449-4B67-8257-A9AB724D3779}" uniqueName="15" name="WHO Region" queryTableFieldId="15" dataDxfId="109"/>
    <tableColumn id="16" xr3:uid="{DFEDFDD2-BD0F-4311-8E6F-C38A165119D0}" uniqueName="16" name="Death Rate" queryTableFieldId="16" dataDxfId="108">
      <calculatedColumnFormula>covid_data[[#This Row],[Deaths]]/covid_data[[#This Row],[Confirmed]]*100</calculatedColumnFormula>
    </tableColumn>
    <tableColumn id="17" xr3:uid="{7A78C658-6CF8-4009-9C86-D65BE4AFB6BD}" uniqueName="17" name="Recovery Rate" queryTableFieldId="17" dataCellStyle="Percent">
      <calculatedColumnFormula>covid_data[[#This Row],[Recovered]]/covid_data[[#This Row],[Confirmed]]</calculatedColumnFormula>
    </tableColumn>
    <tableColumn id="18" xr3:uid="{5BB1EFEF-537F-4DFC-BEA5-0217966E7828}" uniqueName="18" name="Active Case Percentage" queryTableFieldId="18" dataDxfId="107">
      <calculatedColumnFormula>covid_data[[#This Row],[Active]]/covid_data[[#This Row],[Confirmed]]*100</calculatedColumnFormula>
    </tableColumn>
    <tableColumn id="19" xr3:uid="{D57FAA42-6F7D-4D61-8691-E2FF9E7B3236}" uniqueName="19" name="Risk Category based on New Deaths" queryTableFieldId="19" dataDxfId="106">
      <calculatedColumnFormula>IF(covid_data[[#This Row],[New deaths]]&gt;5,"High Risk","Low Risk")</calculatedColumnFormula>
    </tableColumn>
    <tableColumn id="21" xr3:uid="{A1733EED-337C-47CF-9E3D-A589DCE6A50B}" uniqueName="21" name="Country Ranking" queryTableFieldId="20" dataDxfId="105">
      <calculatedColumnFormula>RANK(B2,covid_data[Confirmed],0)</calculatedColumnFormula>
    </tableColumn>
    <tableColumn id="24" xr3:uid="{F27BCE0B-9BCC-4D65-B423-3B754BEF919E}" uniqueName="24" name="Case Severity Category" queryTableFieldId="21" dataDxfId="104">
      <calculatedColumnFormula>_xlfn.IFS(B2&gt;50000,"Critical",B2&gt;10000,"High",B2&gt;5000,"Moderate",B2&gt;=10,"Low")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4F62-CA73-40F3-BF8C-517A447BBEDB}">
  <dimension ref="A1:O188"/>
  <sheetViews>
    <sheetView tabSelected="1" workbookViewId="0">
      <selection activeCell="E164" sqref="E164"/>
    </sheetView>
  </sheetViews>
  <sheetFormatPr defaultRowHeight="14.5" x14ac:dyDescent="0.35"/>
  <cols>
    <col min="1" max="1" width="28.7265625" bestFit="1" customWidth="1"/>
    <col min="2" max="2" width="11.90625" bestFit="1" customWidth="1"/>
    <col min="3" max="3" width="9" bestFit="1" customWidth="1"/>
    <col min="4" max="4" width="11.81640625" bestFit="1" customWidth="1"/>
    <col min="5" max="5" width="8.1796875" bestFit="1" customWidth="1"/>
    <col min="6" max="6" width="11.7265625" bestFit="1" customWidth="1"/>
    <col min="7" max="7" width="13" bestFit="1" customWidth="1"/>
    <col min="8" max="8" width="15.7265625" bestFit="1" customWidth="1"/>
    <col min="9" max="9" width="19" bestFit="1" customWidth="1"/>
    <col min="10" max="10" width="21.90625" bestFit="1" customWidth="1"/>
    <col min="11" max="11" width="23.08984375" bestFit="1" customWidth="1"/>
    <col min="12" max="12" width="20.453125" bestFit="1" customWidth="1"/>
    <col min="13" max="13" width="15.453125" bestFit="1" customWidth="1"/>
    <col min="14" max="14" width="18.36328125" bestFit="1" customWidth="1"/>
    <col min="15" max="15" width="20.26953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1" t="s">
        <v>15</v>
      </c>
      <c r="B2">
        <v>36263</v>
      </c>
      <c r="C2">
        <v>1269</v>
      </c>
      <c r="D2">
        <v>25198</v>
      </c>
      <c r="E2">
        <v>9796</v>
      </c>
      <c r="F2">
        <v>106</v>
      </c>
      <c r="G2">
        <v>10</v>
      </c>
      <c r="H2">
        <v>18</v>
      </c>
      <c r="I2">
        <v>3.5</v>
      </c>
      <c r="J2">
        <v>69.489999999999995</v>
      </c>
      <c r="K2" s="1" t="s">
        <v>16</v>
      </c>
      <c r="L2">
        <v>35526</v>
      </c>
      <c r="M2">
        <v>737</v>
      </c>
      <c r="N2">
        <v>2.0699999999999998</v>
      </c>
      <c r="O2" s="1" t="s">
        <v>17</v>
      </c>
    </row>
    <row r="3" spans="1:15" x14ac:dyDescent="0.35">
      <c r="A3" s="1" t="s">
        <v>18</v>
      </c>
      <c r="B3">
        <v>4880</v>
      </c>
      <c r="C3">
        <v>144</v>
      </c>
      <c r="D3">
        <v>2745</v>
      </c>
      <c r="E3">
        <v>1991</v>
      </c>
      <c r="F3">
        <v>117</v>
      </c>
      <c r="G3">
        <v>6</v>
      </c>
      <c r="H3">
        <v>63</v>
      </c>
      <c r="I3">
        <v>2.95</v>
      </c>
      <c r="J3">
        <v>56.25</v>
      </c>
      <c r="K3" s="1" t="s">
        <v>19</v>
      </c>
      <c r="L3">
        <v>4171</v>
      </c>
      <c r="M3">
        <v>709</v>
      </c>
      <c r="N3">
        <v>17</v>
      </c>
      <c r="O3" s="1" t="s">
        <v>20</v>
      </c>
    </row>
    <row r="4" spans="1:15" x14ac:dyDescent="0.35">
      <c r="A4" s="1" t="s">
        <v>21</v>
      </c>
      <c r="B4">
        <v>27973</v>
      </c>
      <c r="C4">
        <v>1163</v>
      </c>
      <c r="D4">
        <v>18837</v>
      </c>
      <c r="E4">
        <v>7973</v>
      </c>
      <c r="F4">
        <v>616</v>
      </c>
      <c r="G4">
        <v>8</v>
      </c>
      <c r="H4">
        <v>749</v>
      </c>
      <c r="I4">
        <v>4.16</v>
      </c>
      <c r="J4">
        <v>67.34</v>
      </c>
      <c r="K4" s="1" t="s">
        <v>22</v>
      </c>
      <c r="L4">
        <v>23691</v>
      </c>
      <c r="M4">
        <v>4282</v>
      </c>
      <c r="N4">
        <v>18.07</v>
      </c>
      <c r="O4" s="1" t="s">
        <v>23</v>
      </c>
    </row>
    <row r="5" spans="1:15" x14ac:dyDescent="0.35">
      <c r="A5" s="1" t="s">
        <v>24</v>
      </c>
      <c r="B5">
        <v>907</v>
      </c>
      <c r="C5">
        <v>52</v>
      </c>
      <c r="D5">
        <v>803</v>
      </c>
      <c r="E5">
        <v>52</v>
      </c>
      <c r="F5">
        <v>10</v>
      </c>
      <c r="G5">
        <v>0</v>
      </c>
      <c r="H5">
        <v>0</v>
      </c>
      <c r="I5">
        <v>5.73</v>
      </c>
      <c r="J5">
        <v>88.53</v>
      </c>
      <c r="K5" s="1" t="s">
        <v>25</v>
      </c>
      <c r="L5">
        <v>884</v>
      </c>
      <c r="M5">
        <v>23</v>
      </c>
      <c r="N5">
        <v>2.6</v>
      </c>
      <c r="O5" s="1" t="s">
        <v>20</v>
      </c>
    </row>
    <row r="6" spans="1:15" x14ac:dyDescent="0.35">
      <c r="A6" s="1" t="s">
        <v>26</v>
      </c>
      <c r="B6">
        <v>950</v>
      </c>
      <c r="C6">
        <v>41</v>
      </c>
      <c r="D6">
        <v>242</v>
      </c>
      <c r="E6">
        <v>667</v>
      </c>
      <c r="F6">
        <v>18</v>
      </c>
      <c r="G6">
        <v>1</v>
      </c>
      <c r="H6">
        <v>0</v>
      </c>
      <c r="I6">
        <v>4.32</v>
      </c>
      <c r="J6">
        <v>25.47</v>
      </c>
      <c r="K6" s="1" t="s">
        <v>27</v>
      </c>
      <c r="L6">
        <v>749</v>
      </c>
      <c r="M6">
        <v>201</v>
      </c>
      <c r="N6">
        <v>26.84</v>
      </c>
      <c r="O6" s="1" t="s">
        <v>23</v>
      </c>
    </row>
    <row r="7" spans="1:15" x14ac:dyDescent="0.35">
      <c r="A7" s="1" t="s">
        <v>28</v>
      </c>
      <c r="B7">
        <v>86</v>
      </c>
      <c r="C7">
        <v>3</v>
      </c>
      <c r="D7">
        <v>65</v>
      </c>
      <c r="E7">
        <v>18</v>
      </c>
      <c r="F7">
        <v>4</v>
      </c>
      <c r="G7">
        <v>0</v>
      </c>
      <c r="H7">
        <v>5</v>
      </c>
      <c r="I7">
        <v>3.49</v>
      </c>
      <c r="J7">
        <v>75.58</v>
      </c>
      <c r="K7" s="1" t="s">
        <v>29</v>
      </c>
      <c r="L7">
        <v>76</v>
      </c>
      <c r="M7">
        <v>10</v>
      </c>
      <c r="N7">
        <v>13.16</v>
      </c>
      <c r="O7" s="1" t="s">
        <v>30</v>
      </c>
    </row>
    <row r="8" spans="1:15" x14ac:dyDescent="0.35">
      <c r="A8" s="1" t="s">
        <v>31</v>
      </c>
      <c r="B8">
        <v>167416</v>
      </c>
      <c r="C8">
        <v>3059</v>
      </c>
      <c r="D8">
        <v>72575</v>
      </c>
      <c r="E8">
        <v>91782</v>
      </c>
      <c r="F8">
        <v>4890</v>
      </c>
      <c r="G8">
        <v>120</v>
      </c>
      <c r="H8">
        <v>2057</v>
      </c>
      <c r="I8">
        <v>1.83</v>
      </c>
      <c r="J8">
        <v>43.35</v>
      </c>
      <c r="K8" s="1" t="s">
        <v>32</v>
      </c>
      <c r="L8">
        <v>130774</v>
      </c>
      <c r="M8">
        <v>36642</v>
      </c>
      <c r="N8">
        <v>28.02</v>
      </c>
      <c r="O8" s="1" t="s">
        <v>30</v>
      </c>
    </row>
    <row r="9" spans="1:15" x14ac:dyDescent="0.35">
      <c r="A9" s="1" t="s">
        <v>33</v>
      </c>
      <c r="B9">
        <v>37390</v>
      </c>
      <c r="C9">
        <v>711</v>
      </c>
      <c r="D9">
        <v>26665</v>
      </c>
      <c r="E9">
        <v>10014</v>
      </c>
      <c r="F9">
        <v>73</v>
      </c>
      <c r="G9">
        <v>6</v>
      </c>
      <c r="H9">
        <v>187</v>
      </c>
      <c r="I9">
        <v>1.9</v>
      </c>
      <c r="J9">
        <v>71.319999999999993</v>
      </c>
      <c r="K9" s="1" t="s">
        <v>34</v>
      </c>
      <c r="L9">
        <v>34981</v>
      </c>
      <c r="M9">
        <v>2409</v>
      </c>
      <c r="N9">
        <v>6.89</v>
      </c>
      <c r="O9" s="1" t="s">
        <v>20</v>
      </c>
    </row>
    <row r="10" spans="1:15" x14ac:dyDescent="0.35">
      <c r="A10" s="1" t="s">
        <v>35</v>
      </c>
      <c r="B10">
        <v>15303</v>
      </c>
      <c r="C10">
        <v>167</v>
      </c>
      <c r="D10">
        <v>9311</v>
      </c>
      <c r="E10">
        <v>5825</v>
      </c>
      <c r="F10">
        <v>368</v>
      </c>
      <c r="G10">
        <v>6</v>
      </c>
      <c r="H10">
        <v>137</v>
      </c>
      <c r="I10">
        <v>1.0900000000000001</v>
      </c>
      <c r="J10">
        <v>60.84</v>
      </c>
      <c r="K10" s="1" t="s">
        <v>36</v>
      </c>
      <c r="L10">
        <v>12428</v>
      </c>
      <c r="M10">
        <v>2875</v>
      </c>
      <c r="N10">
        <v>23.13</v>
      </c>
      <c r="O10" s="1" t="s">
        <v>37</v>
      </c>
    </row>
    <row r="11" spans="1:15" x14ac:dyDescent="0.35">
      <c r="A11" s="1" t="s">
        <v>38</v>
      </c>
      <c r="B11">
        <v>20558</v>
      </c>
      <c r="C11">
        <v>713</v>
      </c>
      <c r="D11">
        <v>18246</v>
      </c>
      <c r="E11">
        <v>1599</v>
      </c>
      <c r="F11">
        <v>86</v>
      </c>
      <c r="G11">
        <v>1</v>
      </c>
      <c r="H11">
        <v>37</v>
      </c>
      <c r="I11">
        <v>3.47</v>
      </c>
      <c r="J11">
        <v>88.75</v>
      </c>
      <c r="K11" s="1" t="s">
        <v>39</v>
      </c>
      <c r="L11">
        <v>19743</v>
      </c>
      <c r="M11">
        <v>815</v>
      </c>
      <c r="N11">
        <v>4.13</v>
      </c>
      <c r="O11" s="1" t="s">
        <v>20</v>
      </c>
    </row>
    <row r="12" spans="1:15" x14ac:dyDescent="0.35">
      <c r="A12" s="1" t="s">
        <v>40</v>
      </c>
      <c r="B12">
        <v>30446</v>
      </c>
      <c r="C12">
        <v>423</v>
      </c>
      <c r="D12">
        <v>23242</v>
      </c>
      <c r="E12">
        <v>6781</v>
      </c>
      <c r="F12">
        <v>396</v>
      </c>
      <c r="G12">
        <v>6</v>
      </c>
      <c r="H12">
        <v>558</v>
      </c>
      <c r="I12">
        <v>1.39</v>
      </c>
      <c r="J12">
        <v>76.34</v>
      </c>
      <c r="K12" s="1" t="s">
        <v>41</v>
      </c>
      <c r="L12">
        <v>27890</v>
      </c>
      <c r="M12">
        <v>2556</v>
      </c>
      <c r="N12">
        <v>9.16</v>
      </c>
      <c r="O12" s="1" t="s">
        <v>20</v>
      </c>
    </row>
    <row r="13" spans="1:15" x14ac:dyDescent="0.35">
      <c r="A13" s="1" t="s">
        <v>42</v>
      </c>
      <c r="B13">
        <v>382</v>
      </c>
      <c r="C13">
        <v>11</v>
      </c>
      <c r="D13">
        <v>91</v>
      </c>
      <c r="E13">
        <v>280</v>
      </c>
      <c r="F13">
        <v>40</v>
      </c>
      <c r="G13">
        <v>0</v>
      </c>
      <c r="H13">
        <v>0</v>
      </c>
      <c r="I13">
        <v>2.88</v>
      </c>
      <c r="J13">
        <v>23.82</v>
      </c>
      <c r="K13" s="1" t="s">
        <v>43</v>
      </c>
      <c r="L13">
        <v>174</v>
      </c>
      <c r="M13">
        <v>208</v>
      </c>
      <c r="N13">
        <v>119.54</v>
      </c>
      <c r="O13" s="1" t="s">
        <v>30</v>
      </c>
    </row>
    <row r="14" spans="1:15" x14ac:dyDescent="0.35">
      <c r="A14" s="1" t="s">
        <v>44</v>
      </c>
      <c r="B14">
        <v>39482</v>
      </c>
      <c r="C14">
        <v>141</v>
      </c>
      <c r="D14">
        <v>36110</v>
      </c>
      <c r="E14">
        <v>3231</v>
      </c>
      <c r="F14">
        <v>351</v>
      </c>
      <c r="G14">
        <v>1</v>
      </c>
      <c r="H14">
        <v>421</v>
      </c>
      <c r="I14">
        <v>0.36</v>
      </c>
      <c r="J14">
        <v>91.46</v>
      </c>
      <c r="K14" s="1" t="s">
        <v>45</v>
      </c>
      <c r="L14">
        <v>36936</v>
      </c>
      <c r="M14">
        <v>2546</v>
      </c>
      <c r="N14">
        <v>6.89</v>
      </c>
      <c r="O14" s="1" t="s">
        <v>17</v>
      </c>
    </row>
    <row r="15" spans="1:15" x14ac:dyDescent="0.35">
      <c r="A15" s="1" t="s">
        <v>46</v>
      </c>
      <c r="B15">
        <v>226225</v>
      </c>
      <c r="C15">
        <v>2965</v>
      </c>
      <c r="D15">
        <v>125683</v>
      </c>
      <c r="E15">
        <v>97577</v>
      </c>
      <c r="F15">
        <v>2772</v>
      </c>
      <c r="G15">
        <v>37</v>
      </c>
      <c r="H15">
        <v>1801</v>
      </c>
      <c r="I15">
        <v>1.31</v>
      </c>
      <c r="J15">
        <v>55.56</v>
      </c>
      <c r="K15" s="1" t="s">
        <v>47</v>
      </c>
      <c r="L15">
        <v>207453</v>
      </c>
      <c r="M15">
        <v>18772</v>
      </c>
      <c r="N15">
        <v>9.0500000000000007</v>
      </c>
      <c r="O15" s="1" t="s">
        <v>48</v>
      </c>
    </row>
    <row r="16" spans="1:15" x14ac:dyDescent="0.35">
      <c r="A16" s="1" t="s">
        <v>49</v>
      </c>
      <c r="B16">
        <v>110</v>
      </c>
      <c r="C16">
        <v>7</v>
      </c>
      <c r="D16">
        <v>94</v>
      </c>
      <c r="E16">
        <v>9</v>
      </c>
      <c r="F16">
        <v>0</v>
      </c>
      <c r="G16">
        <v>0</v>
      </c>
      <c r="H16">
        <v>0</v>
      </c>
      <c r="I16">
        <v>6.36</v>
      </c>
      <c r="J16">
        <v>85.45</v>
      </c>
      <c r="K16" s="1" t="s">
        <v>50</v>
      </c>
      <c r="L16">
        <v>106</v>
      </c>
      <c r="M16">
        <v>4</v>
      </c>
      <c r="N16">
        <v>3.77</v>
      </c>
      <c r="O16" s="1" t="s">
        <v>30</v>
      </c>
    </row>
    <row r="17" spans="1:15" x14ac:dyDescent="0.35">
      <c r="A17" s="1" t="s">
        <v>51</v>
      </c>
      <c r="B17">
        <v>67251</v>
      </c>
      <c r="C17">
        <v>538</v>
      </c>
      <c r="D17">
        <v>60492</v>
      </c>
      <c r="E17">
        <v>6221</v>
      </c>
      <c r="F17">
        <v>119</v>
      </c>
      <c r="G17">
        <v>4</v>
      </c>
      <c r="H17">
        <v>67</v>
      </c>
      <c r="I17">
        <v>0.8</v>
      </c>
      <c r="J17">
        <v>89.95</v>
      </c>
      <c r="K17" s="1" t="s">
        <v>52</v>
      </c>
      <c r="L17">
        <v>66213</v>
      </c>
      <c r="M17">
        <v>1038</v>
      </c>
      <c r="N17">
        <v>1.57</v>
      </c>
      <c r="O17" s="1" t="s">
        <v>20</v>
      </c>
    </row>
    <row r="18" spans="1:15" x14ac:dyDescent="0.35">
      <c r="A18" s="1" t="s">
        <v>53</v>
      </c>
      <c r="B18">
        <v>66428</v>
      </c>
      <c r="C18">
        <v>9822</v>
      </c>
      <c r="D18">
        <v>17452</v>
      </c>
      <c r="E18">
        <v>39154</v>
      </c>
      <c r="F18">
        <v>402</v>
      </c>
      <c r="G18">
        <v>1</v>
      </c>
      <c r="H18">
        <v>14</v>
      </c>
      <c r="I18">
        <v>14.79</v>
      </c>
      <c r="J18">
        <v>26.27</v>
      </c>
      <c r="K18" s="1" t="s">
        <v>54</v>
      </c>
      <c r="L18">
        <v>64094</v>
      </c>
      <c r="M18">
        <v>2334</v>
      </c>
      <c r="N18">
        <v>3.64</v>
      </c>
      <c r="O18" s="1" t="s">
        <v>20</v>
      </c>
    </row>
    <row r="19" spans="1:15" x14ac:dyDescent="0.35">
      <c r="A19" s="1" t="s">
        <v>55</v>
      </c>
      <c r="B19">
        <v>48</v>
      </c>
      <c r="C19">
        <v>2</v>
      </c>
      <c r="D19">
        <v>26</v>
      </c>
      <c r="E19">
        <v>20</v>
      </c>
      <c r="F19">
        <v>0</v>
      </c>
      <c r="G19">
        <v>0</v>
      </c>
      <c r="H19">
        <v>0</v>
      </c>
      <c r="I19">
        <v>4.17</v>
      </c>
      <c r="J19">
        <v>54.17</v>
      </c>
      <c r="K19" s="1" t="s">
        <v>56</v>
      </c>
      <c r="L19">
        <v>40</v>
      </c>
      <c r="M19">
        <v>8</v>
      </c>
      <c r="N19">
        <v>20</v>
      </c>
      <c r="O19" s="1" t="s">
        <v>30</v>
      </c>
    </row>
    <row r="20" spans="1:15" x14ac:dyDescent="0.35">
      <c r="A20" s="1" t="s">
        <v>57</v>
      </c>
      <c r="B20">
        <v>1770</v>
      </c>
      <c r="C20">
        <v>35</v>
      </c>
      <c r="D20">
        <v>1036</v>
      </c>
      <c r="E20">
        <v>699</v>
      </c>
      <c r="F20">
        <v>0</v>
      </c>
      <c r="G20">
        <v>0</v>
      </c>
      <c r="H20">
        <v>0</v>
      </c>
      <c r="I20">
        <v>1.98</v>
      </c>
      <c r="J20">
        <v>58.53</v>
      </c>
      <c r="K20" s="1" t="s">
        <v>58</v>
      </c>
      <c r="L20">
        <v>1602</v>
      </c>
      <c r="M20">
        <v>168</v>
      </c>
      <c r="N20">
        <v>10.49</v>
      </c>
      <c r="O20" s="1" t="s">
        <v>23</v>
      </c>
    </row>
    <row r="21" spans="1:15" x14ac:dyDescent="0.35">
      <c r="A21" s="1" t="s">
        <v>59</v>
      </c>
      <c r="B21">
        <v>99</v>
      </c>
      <c r="C21">
        <v>0</v>
      </c>
      <c r="D21">
        <v>86</v>
      </c>
      <c r="E21">
        <v>13</v>
      </c>
      <c r="F21">
        <v>4</v>
      </c>
      <c r="G21">
        <v>0</v>
      </c>
      <c r="H21">
        <v>1</v>
      </c>
      <c r="I21">
        <v>0</v>
      </c>
      <c r="J21">
        <v>86.87</v>
      </c>
      <c r="K21" s="1" t="s">
        <v>60</v>
      </c>
      <c r="L21">
        <v>90</v>
      </c>
      <c r="M21">
        <v>9</v>
      </c>
      <c r="N21">
        <v>10</v>
      </c>
      <c r="O21" s="1" t="s">
        <v>48</v>
      </c>
    </row>
    <row r="22" spans="1:15" x14ac:dyDescent="0.35">
      <c r="A22" s="1" t="s">
        <v>61</v>
      </c>
      <c r="B22">
        <v>71181</v>
      </c>
      <c r="C22">
        <v>2647</v>
      </c>
      <c r="D22">
        <v>21478</v>
      </c>
      <c r="E22">
        <v>47056</v>
      </c>
      <c r="F22">
        <v>1752</v>
      </c>
      <c r="G22">
        <v>64</v>
      </c>
      <c r="H22">
        <v>309</v>
      </c>
      <c r="I22">
        <v>3.72</v>
      </c>
      <c r="J22">
        <v>30.17</v>
      </c>
      <c r="K22" s="1" t="s">
        <v>62</v>
      </c>
      <c r="L22">
        <v>60991</v>
      </c>
      <c r="M22">
        <v>10190</v>
      </c>
      <c r="N22">
        <v>16.71</v>
      </c>
      <c r="O22" s="1" t="s">
        <v>30</v>
      </c>
    </row>
    <row r="23" spans="1:15" x14ac:dyDescent="0.35">
      <c r="A23" s="1" t="s">
        <v>63</v>
      </c>
      <c r="B23">
        <v>10498</v>
      </c>
      <c r="C23">
        <v>294</v>
      </c>
      <c r="D23">
        <v>4930</v>
      </c>
      <c r="E23">
        <v>5274</v>
      </c>
      <c r="F23">
        <v>731</v>
      </c>
      <c r="G23">
        <v>14</v>
      </c>
      <c r="H23">
        <v>375</v>
      </c>
      <c r="I23">
        <v>2.8</v>
      </c>
      <c r="J23">
        <v>46.96</v>
      </c>
      <c r="K23" s="1" t="s">
        <v>64</v>
      </c>
      <c r="L23">
        <v>8479</v>
      </c>
      <c r="M23">
        <v>2019</v>
      </c>
      <c r="N23">
        <v>23.81</v>
      </c>
      <c r="O23" s="1" t="s">
        <v>20</v>
      </c>
    </row>
    <row r="24" spans="1:15" x14ac:dyDescent="0.35">
      <c r="A24" s="1" t="s">
        <v>65</v>
      </c>
      <c r="B24">
        <v>739</v>
      </c>
      <c r="C24">
        <v>2</v>
      </c>
      <c r="D24">
        <v>63</v>
      </c>
      <c r="E24">
        <v>674</v>
      </c>
      <c r="F24">
        <v>53</v>
      </c>
      <c r="G24">
        <v>1</v>
      </c>
      <c r="H24">
        <v>11</v>
      </c>
      <c r="I24">
        <v>0.27</v>
      </c>
      <c r="J24">
        <v>8.5299999999999994</v>
      </c>
      <c r="K24" s="1" t="s">
        <v>66</v>
      </c>
      <c r="L24">
        <v>522</v>
      </c>
      <c r="M24">
        <v>217</v>
      </c>
      <c r="N24">
        <v>41.57</v>
      </c>
      <c r="O24" s="1" t="s">
        <v>23</v>
      </c>
    </row>
    <row r="25" spans="1:15" x14ac:dyDescent="0.35">
      <c r="A25" s="1" t="s">
        <v>67</v>
      </c>
      <c r="B25">
        <v>2442375</v>
      </c>
      <c r="C25">
        <v>87618</v>
      </c>
      <c r="D25">
        <v>1846641</v>
      </c>
      <c r="E25">
        <v>508116</v>
      </c>
      <c r="F25">
        <v>23284</v>
      </c>
      <c r="G25">
        <v>614</v>
      </c>
      <c r="H25">
        <v>33728</v>
      </c>
      <c r="I25">
        <v>3.59</v>
      </c>
      <c r="J25">
        <v>75.61</v>
      </c>
      <c r="K25" s="1" t="s">
        <v>68</v>
      </c>
      <c r="L25">
        <v>2118646</v>
      </c>
      <c r="M25">
        <v>323729</v>
      </c>
      <c r="N25">
        <v>15.28</v>
      </c>
      <c r="O25" s="1" t="s">
        <v>30</v>
      </c>
    </row>
    <row r="26" spans="1:15" x14ac:dyDescent="0.35">
      <c r="A26" s="1" t="s">
        <v>69</v>
      </c>
      <c r="B26">
        <v>141</v>
      </c>
      <c r="C26">
        <v>3</v>
      </c>
      <c r="D26">
        <v>138</v>
      </c>
      <c r="E26">
        <v>0</v>
      </c>
      <c r="F26">
        <v>0</v>
      </c>
      <c r="G26">
        <v>0</v>
      </c>
      <c r="H26">
        <v>0</v>
      </c>
      <c r="I26">
        <v>2.13</v>
      </c>
      <c r="J26">
        <v>97.87</v>
      </c>
      <c r="K26" s="1" t="s">
        <v>70</v>
      </c>
      <c r="L26">
        <v>141</v>
      </c>
      <c r="M26">
        <v>0</v>
      </c>
      <c r="N26">
        <v>0</v>
      </c>
      <c r="O26" s="1" t="s">
        <v>37</v>
      </c>
    </row>
    <row r="27" spans="1:15" x14ac:dyDescent="0.35">
      <c r="A27" s="1" t="s">
        <v>71</v>
      </c>
      <c r="B27">
        <v>10621</v>
      </c>
      <c r="C27">
        <v>347</v>
      </c>
      <c r="D27">
        <v>5585</v>
      </c>
      <c r="E27">
        <v>4689</v>
      </c>
      <c r="F27">
        <v>194</v>
      </c>
      <c r="G27">
        <v>7</v>
      </c>
      <c r="H27">
        <v>230</v>
      </c>
      <c r="I27">
        <v>3.27</v>
      </c>
      <c r="J27">
        <v>52.58</v>
      </c>
      <c r="K27" s="1" t="s">
        <v>72</v>
      </c>
      <c r="L27">
        <v>8929</v>
      </c>
      <c r="M27">
        <v>1692</v>
      </c>
      <c r="N27">
        <v>18.95</v>
      </c>
      <c r="O27" s="1" t="s">
        <v>20</v>
      </c>
    </row>
    <row r="28" spans="1:15" x14ac:dyDescent="0.35">
      <c r="A28" s="1" t="s">
        <v>73</v>
      </c>
      <c r="B28">
        <v>1100</v>
      </c>
      <c r="C28">
        <v>53</v>
      </c>
      <c r="D28">
        <v>926</v>
      </c>
      <c r="E28">
        <v>121</v>
      </c>
      <c r="F28">
        <v>14</v>
      </c>
      <c r="G28">
        <v>0</v>
      </c>
      <c r="H28">
        <v>6</v>
      </c>
      <c r="I28">
        <v>4.82</v>
      </c>
      <c r="J28">
        <v>84.18</v>
      </c>
      <c r="K28" s="1" t="s">
        <v>74</v>
      </c>
      <c r="L28">
        <v>1065</v>
      </c>
      <c r="M28">
        <v>35</v>
      </c>
      <c r="N28">
        <v>3.29</v>
      </c>
      <c r="O28" s="1" t="s">
        <v>23</v>
      </c>
    </row>
    <row r="29" spans="1:15" x14ac:dyDescent="0.35">
      <c r="A29" s="1" t="s">
        <v>75</v>
      </c>
      <c r="B29">
        <v>350</v>
      </c>
      <c r="C29">
        <v>6</v>
      </c>
      <c r="D29">
        <v>292</v>
      </c>
      <c r="E29">
        <v>52</v>
      </c>
      <c r="F29">
        <v>0</v>
      </c>
      <c r="G29">
        <v>0</v>
      </c>
      <c r="H29">
        <v>2</v>
      </c>
      <c r="I29">
        <v>1.71</v>
      </c>
      <c r="J29">
        <v>83.43</v>
      </c>
      <c r="K29" s="1" t="s">
        <v>76</v>
      </c>
      <c r="L29">
        <v>341</v>
      </c>
      <c r="M29">
        <v>9</v>
      </c>
      <c r="N29">
        <v>2.64</v>
      </c>
      <c r="O29" s="1" t="s">
        <v>48</v>
      </c>
    </row>
    <row r="30" spans="1:15" x14ac:dyDescent="0.35">
      <c r="A30" s="1" t="s">
        <v>77</v>
      </c>
      <c r="B30">
        <v>378</v>
      </c>
      <c r="C30">
        <v>1</v>
      </c>
      <c r="D30">
        <v>301</v>
      </c>
      <c r="E30">
        <v>76</v>
      </c>
      <c r="F30">
        <v>17</v>
      </c>
      <c r="G30">
        <v>0</v>
      </c>
      <c r="H30">
        <v>22</v>
      </c>
      <c r="I30">
        <v>0.26</v>
      </c>
      <c r="J30">
        <v>79.63</v>
      </c>
      <c r="K30" s="1" t="s">
        <v>78</v>
      </c>
      <c r="L30">
        <v>322</v>
      </c>
      <c r="M30">
        <v>56</v>
      </c>
      <c r="N30">
        <v>17.39</v>
      </c>
      <c r="O30" s="1" t="s">
        <v>23</v>
      </c>
    </row>
    <row r="31" spans="1:15" x14ac:dyDescent="0.35">
      <c r="A31" s="1" t="s">
        <v>79</v>
      </c>
      <c r="B31">
        <v>2328</v>
      </c>
      <c r="C31">
        <v>22</v>
      </c>
      <c r="D31">
        <v>1550</v>
      </c>
      <c r="E31">
        <v>756</v>
      </c>
      <c r="F31">
        <v>21</v>
      </c>
      <c r="G31">
        <v>0</v>
      </c>
      <c r="H31">
        <v>103</v>
      </c>
      <c r="I31">
        <v>0.95</v>
      </c>
      <c r="J31">
        <v>66.58</v>
      </c>
      <c r="K31" s="1" t="s">
        <v>80</v>
      </c>
      <c r="L31">
        <v>2071</v>
      </c>
      <c r="M31">
        <v>257</v>
      </c>
      <c r="N31">
        <v>12.41</v>
      </c>
      <c r="O31" s="1" t="s">
        <v>23</v>
      </c>
    </row>
    <row r="32" spans="1:15" x14ac:dyDescent="0.35">
      <c r="A32" s="1" t="s">
        <v>81</v>
      </c>
      <c r="B32">
        <v>226</v>
      </c>
      <c r="C32">
        <v>0</v>
      </c>
      <c r="D32">
        <v>147</v>
      </c>
      <c r="E32">
        <v>79</v>
      </c>
      <c r="F32">
        <v>1</v>
      </c>
      <c r="G32">
        <v>0</v>
      </c>
      <c r="H32">
        <v>4</v>
      </c>
      <c r="I32">
        <v>0</v>
      </c>
      <c r="J32">
        <v>65.040000000000006</v>
      </c>
      <c r="K32" s="1" t="s">
        <v>60</v>
      </c>
      <c r="L32">
        <v>171</v>
      </c>
      <c r="M32">
        <v>55</v>
      </c>
      <c r="N32">
        <v>32.159999999999997</v>
      </c>
      <c r="O32" s="1" t="s">
        <v>37</v>
      </c>
    </row>
    <row r="33" spans="1:15" x14ac:dyDescent="0.35">
      <c r="A33" s="1" t="s">
        <v>82</v>
      </c>
      <c r="B33">
        <v>17110</v>
      </c>
      <c r="C33">
        <v>391</v>
      </c>
      <c r="D33">
        <v>14539</v>
      </c>
      <c r="E33">
        <v>2180</v>
      </c>
      <c r="F33">
        <v>402</v>
      </c>
      <c r="G33">
        <v>6</v>
      </c>
      <c r="H33">
        <v>0</v>
      </c>
      <c r="I33">
        <v>2.29</v>
      </c>
      <c r="J33">
        <v>84.97</v>
      </c>
      <c r="K33" s="1" t="s">
        <v>83</v>
      </c>
      <c r="L33">
        <v>16157</v>
      </c>
      <c r="M33">
        <v>953</v>
      </c>
      <c r="N33">
        <v>5.9</v>
      </c>
      <c r="O33" s="1" t="s">
        <v>23</v>
      </c>
    </row>
    <row r="34" spans="1:15" x14ac:dyDescent="0.35">
      <c r="A34" s="1" t="s">
        <v>84</v>
      </c>
      <c r="B34">
        <v>116458</v>
      </c>
      <c r="C34">
        <v>8944</v>
      </c>
      <c r="D34">
        <v>0</v>
      </c>
      <c r="E34">
        <v>107514</v>
      </c>
      <c r="F34">
        <v>682</v>
      </c>
      <c r="G34">
        <v>11</v>
      </c>
      <c r="H34">
        <v>0</v>
      </c>
      <c r="I34">
        <v>7.68</v>
      </c>
      <c r="J34">
        <v>0</v>
      </c>
      <c r="K34" s="1" t="s">
        <v>85</v>
      </c>
      <c r="L34">
        <v>112925</v>
      </c>
      <c r="M34">
        <v>3533</v>
      </c>
      <c r="N34">
        <v>3.13</v>
      </c>
      <c r="O34" s="1" t="s">
        <v>30</v>
      </c>
    </row>
    <row r="35" spans="1:15" x14ac:dyDescent="0.35">
      <c r="A35" s="1" t="s">
        <v>86</v>
      </c>
      <c r="B35">
        <v>4599</v>
      </c>
      <c r="C35">
        <v>59</v>
      </c>
      <c r="D35">
        <v>1546</v>
      </c>
      <c r="E35">
        <v>2994</v>
      </c>
      <c r="F35">
        <v>0</v>
      </c>
      <c r="G35">
        <v>0</v>
      </c>
      <c r="H35">
        <v>0</v>
      </c>
      <c r="I35">
        <v>1.28</v>
      </c>
      <c r="J35">
        <v>33.619999999999997</v>
      </c>
      <c r="K35" s="1" t="s">
        <v>87</v>
      </c>
      <c r="L35">
        <v>4548</v>
      </c>
      <c r="M35">
        <v>51</v>
      </c>
      <c r="N35">
        <v>1.1200000000000001</v>
      </c>
      <c r="O35" s="1" t="s">
        <v>23</v>
      </c>
    </row>
    <row r="36" spans="1:15" x14ac:dyDescent="0.35">
      <c r="A36" s="1" t="s">
        <v>88</v>
      </c>
      <c r="B36">
        <v>922</v>
      </c>
      <c r="C36">
        <v>75</v>
      </c>
      <c r="D36">
        <v>810</v>
      </c>
      <c r="E36">
        <v>37</v>
      </c>
      <c r="F36">
        <v>7</v>
      </c>
      <c r="G36">
        <v>0</v>
      </c>
      <c r="H36">
        <v>0</v>
      </c>
      <c r="I36">
        <v>8.1300000000000008</v>
      </c>
      <c r="J36">
        <v>87.85</v>
      </c>
      <c r="K36" s="1" t="s">
        <v>89</v>
      </c>
      <c r="L36">
        <v>889</v>
      </c>
      <c r="M36">
        <v>33</v>
      </c>
      <c r="N36">
        <v>3.71</v>
      </c>
      <c r="O36" s="1" t="s">
        <v>23</v>
      </c>
    </row>
    <row r="37" spans="1:15" x14ac:dyDescent="0.35">
      <c r="A37" s="1" t="s">
        <v>90</v>
      </c>
      <c r="B37">
        <v>347923</v>
      </c>
      <c r="C37">
        <v>9187</v>
      </c>
      <c r="D37">
        <v>319954</v>
      </c>
      <c r="E37">
        <v>18782</v>
      </c>
      <c r="F37">
        <v>2133</v>
      </c>
      <c r="G37">
        <v>75</v>
      </c>
      <c r="H37">
        <v>1859</v>
      </c>
      <c r="I37">
        <v>2.64</v>
      </c>
      <c r="J37">
        <v>91.96</v>
      </c>
      <c r="K37" s="1" t="s">
        <v>91</v>
      </c>
      <c r="L37">
        <v>333029</v>
      </c>
      <c r="M37">
        <v>14894</v>
      </c>
      <c r="N37">
        <v>4.47</v>
      </c>
      <c r="O37" s="1" t="s">
        <v>30</v>
      </c>
    </row>
    <row r="38" spans="1:15" x14ac:dyDescent="0.35">
      <c r="A38" s="1" t="s">
        <v>92</v>
      </c>
      <c r="B38">
        <v>86783</v>
      </c>
      <c r="C38">
        <v>4656</v>
      </c>
      <c r="D38">
        <v>78869</v>
      </c>
      <c r="E38">
        <v>3258</v>
      </c>
      <c r="F38">
        <v>213</v>
      </c>
      <c r="G38">
        <v>4</v>
      </c>
      <c r="H38">
        <v>7</v>
      </c>
      <c r="I38">
        <v>5.37</v>
      </c>
      <c r="J38">
        <v>90.88</v>
      </c>
      <c r="K38" s="1" t="s">
        <v>93</v>
      </c>
      <c r="L38">
        <v>85622</v>
      </c>
      <c r="M38">
        <v>1161</v>
      </c>
      <c r="N38">
        <v>1.36</v>
      </c>
      <c r="O38" s="1" t="s">
        <v>37</v>
      </c>
    </row>
    <row r="39" spans="1:15" x14ac:dyDescent="0.35">
      <c r="A39" s="1" t="s">
        <v>94</v>
      </c>
      <c r="B39">
        <v>257101</v>
      </c>
      <c r="C39">
        <v>8777</v>
      </c>
      <c r="D39">
        <v>131161</v>
      </c>
      <c r="E39">
        <v>117163</v>
      </c>
      <c r="F39">
        <v>16306</v>
      </c>
      <c r="G39">
        <v>508</v>
      </c>
      <c r="H39">
        <v>11494</v>
      </c>
      <c r="I39">
        <v>3.41</v>
      </c>
      <c r="J39">
        <v>51.02</v>
      </c>
      <c r="K39" s="1" t="s">
        <v>95</v>
      </c>
      <c r="L39">
        <v>204005</v>
      </c>
      <c r="M39">
        <v>53096</v>
      </c>
      <c r="N39">
        <v>26.03</v>
      </c>
      <c r="O39" s="1" t="s">
        <v>30</v>
      </c>
    </row>
    <row r="40" spans="1:15" x14ac:dyDescent="0.35">
      <c r="A40" s="1" t="s">
        <v>96</v>
      </c>
      <c r="B40">
        <v>354</v>
      </c>
      <c r="C40">
        <v>7</v>
      </c>
      <c r="D40">
        <v>328</v>
      </c>
      <c r="E40">
        <v>19</v>
      </c>
      <c r="F40">
        <v>0</v>
      </c>
      <c r="G40">
        <v>0</v>
      </c>
      <c r="H40">
        <v>0</v>
      </c>
      <c r="I40">
        <v>1.98</v>
      </c>
      <c r="J40">
        <v>92.66</v>
      </c>
      <c r="K40" s="1" t="s">
        <v>97</v>
      </c>
      <c r="L40">
        <v>334</v>
      </c>
      <c r="M40">
        <v>20</v>
      </c>
      <c r="N40">
        <v>5.99</v>
      </c>
      <c r="O40" s="1" t="s">
        <v>23</v>
      </c>
    </row>
    <row r="41" spans="1:15" x14ac:dyDescent="0.35">
      <c r="A41" s="1" t="s">
        <v>98</v>
      </c>
      <c r="B41">
        <v>3200</v>
      </c>
      <c r="C41">
        <v>54</v>
      </c>
      <c r="D41">
        <v>829</v>
      </c>
      <c r="E41">
        <v>2317</v>
      </c>
      <c r="F41">
        <v>162</v>
      </c>
      <c r="G41">
        <v>3</v>
      </c>
      <c r="H41">
        <v>73</v>
      </c>
      <c r="I41">
        <v>1.69</v>
      </c>
      <c r="J41">
        <v>25.91</v>
      </c>
      <c r="K41" s="1" t="s">
        <v>99</v>
      </c>
      <c r="L41">
        <v>2851</v>
      </c>
      <c r="M41">
        <v>349</v>
      </c>
      <c r="N41">
        <v>12.24</v>
      </c>
      <c r="O41" s="1" t="s">
        <v>23</v>
      </c>
    </row>
    <row r="42" spans="1:15" x14ac:dyDescent="0.35">
      <c r="A42" s="1" t="s">
        <v>100</v>
      </c>
      <c r="B42">
        <v>8844</v>
      </c>
      <c r="C42">
        <v>208</v>
      </c>
      <c r="D42">
        <v>5700</v>
      </c>
      <c r="E42">
        <v>2936</v>
      </c>
      <c r="F42">
        <v>13</v>
      </c>
      <c r="G42">
        <v>4</v>
      </c>
      <c r="H42">
        <v>190</v>
      </c>
      <c r="I42">
        <v>2.35</v>
      </c>
      <c r="J42">
        <v>64.45</v>
      </c>
      <c r="K42" s="1" t="s">
        <v>101</v>
      </c>
      <c r="L42">
        <v>8443</v>
      </c>
      <c r="M42">
        <v>401</v>
      </c>
      <c r="N42">
        <v>4.75</v>
      </c>
      <c r="O42" s="1" t="s">
        <v>23</v>
      </c>
    </row>
    <row r="43" spans="1:15" x14ac:dyDescent="0.35">
      <c r="A43" s="1" t="s">
        <v>102</v>
      </c>
      <c r="B43">
        <v>15841</v>
      </c>
      <c r="C43">
        <v>115</v>
      </c>
      <c r="D43">
        <v>3824</v>
      </c>
      <c r="E43">
        <v>11902</v>
      </c>
      <c r="F43">
        <v>612</v>
      </c>
      <c r="G43">
        <v>11</v>
      </c>
      <c r="H43">
        <v>88</v>
      </c>
      <c r="I43">
        <v>0.73</v>
      </c>
      <c r="J43">
        <v>24.14</v>
      </c>
      <c r="K43" s="1" t="s">
        <v>103</v>
      </c>
      <c r="L43">
        <v>11534</v>
      </c>
      <c r="M43">
        <v>4307</v>
      </c>
      <c r="N43">
        <v>37.340000000000003</v>
      </c>
      <c r="O43" s="1" t="s">
        <v>30</v>
      </c>
    </row>
    <row r="44" spans="1:15" x14ac:dyDescent="0.35">
      <c r="A44" s="1" t="s">
        <v>104</v>
      </c>
      <c r="B44">
        <v>15655</v>
      </c>
      <c r="C44">
        <v>96</v>
      </c>
      <c r="D44">
        <v>10361</v>
      </c>
      <c r="E44">
        <v>5198</v>
      </c>
      <c r="F44">
        <v>59</v>
      </c>
      <c r="G44">
        <v>0</v>
      </c>
      <c r="H44">
        <v>183</v>
      </c>
      <c r="I44">
        <v>0.61</v>
      </c>
      <c r="J44">
        <v>66.180000000000007</v>
      </c>
      <c r="K44" s="1" t="s">
        <v>105</v>
      </c>
      <c r="L44">
        <v>14312</v>
      </c>
      <c r="M44">
        <v>1343</v>
      </c>
      <c r="N44">
        <v>9.3800000000000008</v>
      </c>
      <c r="O44" s="1" t="s">
        <v>23</v>
      </c>
    </row>
    <row r="45" spans="1:15" x14ac:dyDescent="0.35">
      <c r="A45" s="1" t="s">
        <v>106</v>
      </c>
      <c r="B45">
        <v>4881</v>
      </c>
      <c r="C45">
        <v>139</v>
      </c>
      <c r="D45">
        <v>3936</v>
      </c>
      <c r="E45">
        <v>806</v>
      </c>
      <c r="F45">
        <v>24</v>
      </c>
      <c r="G45">
        <v>3</v>
      </c>
      <c r="H45">
        <v>70</v>
      </c>
      <c r="I45">
        <v>2.85</v>
      </c>
      <c r="J45">
        <v>80.64</v>
      </c>
      <c r="K45" s="1" t="s">
        <v>107</v>
      </c>
      <c r="L45">
        <v>4370</v>
      </c>
      <c r="M45">
        <v>511</v>
      </c>
      <c r="N45">
        <v>11.69</v>
      </c>
      <c r="O45" s="1" t="s">
        <v>20</v>
      </c>
    </row>
    <row r="46" spans="1:15" x14ac:dyDescent="0.35">
      <c r="A46" s="1" t="s">
        <v>108</v>
      </c>
      <c r="B46">
        <v>2532</v>
      </c>
      <c r="C46">
        <v>87</v>
      </c>
      <c r="D46">
        <v>2351</v>
      </c>
      <c r="E46">
        <v>94</v>
      </c>
      <c r="F46">
        <v>37</v>
      </c>
      <c r="G46">
        <v>0</v>
      </c>
      <c r="H46">
        <v>2</v>
      </c>
      <c r="I46">
        <v>3.44</v>
      </c>
      <c r="J46">
        <v>92.85</v>
      </c>
      <c r="K46" s="1" t="s">
        <v>109</v>
      </c>
      <c r="L46">
        <v>2446</v>
      </c>
      <c r="M46">
        <v>86</v>
      </c>
      <c r="N46">
        <v>3.52</v>
      </c>
      <c r="O46" s="1" t="s">
        <v>30</v>
      </c>
    </row>
    <row r="47" spans="1:15" x14ac:dyDescent="0.35">
      <c r="A47" s="1" t="s">
        <v>110</v>
      </c>
      <c r="B47">
        <v>1060</v>
      </c>
      <c r="C47">
        <v>19</v>
      </c>
      <c r="D47">
        <v>852</v>
      </c>
      <c r="E47">
        <v>189</v>
      </c>
      <c r="F47">
        <v>3</v>
      </c>
      <c r="G47">
        <v>0</v>
      </c>
      <c r="H47">
        <v>0</v>
      </c>
      <c r="I47">
        <v>1.79</v>
      </c>
      <c r="J47">
        <v>80.38</v>
      </c>
      <c r="K47" s="1" t="s">
        <v>111</v>
      </c>
      <c r="L47">
        <v>1038</v>
      </c>
      <c r="M47">
        <v>22</v>
      </c>
      <c r="N47">
        <v>2.12</v>
      </c>
      <c r="O47" s="1" t="s">
        <v>20</v>
      </c>
    </row>
    <row r="48" spans="1:15" x14ac:dyDescent="0.35">
      <c r="A48" s="1" t="s">
        <v>112</v>
      </c>
      <c r="B48">
        <v>15516</v>
      </c>
      <c r="C48">
        <v>373</v>
      </c>
      <c r="D48">
        <v>11428</v>
      </c>
      <c r="E48">
        <v>3715</v>
      </c>
      <c r="F48">
        <v>192</v>
      </c>
      <c r="G48">
        <v>2</v>
      </c>
      <c r="H48">
        <v>0</v>
      </c>
      <c r="I48">
        <v>2.4</v>
      </c>
      <c r="J48">
        <v>73.650000000000006</v>
      </c>
      <c r="K48" s="1" t="s">
        <v>113</v>
      </c>
      <c r="L48">
        <v>14098</v>
      </c>
      <c r="M48">
        <v>1418</v>
      </c>
      <c r="N48">
        <v>10.06</v>
      </c>
      <c r="O48" s="1" t="s">
        <v>20</v>
      </c>
    </row>
    <row r="49" spans="1:15" x14ac:dyDescent="0.35">
      <c r="A49" s="1" t="s">
        <v>114</v>
      </c>
      <c r="B49">
        <v>13761</v>
      </c>
      <c r="C49">
        <v>613</v>
      </c>
      <c r="D49">
        <v>12605</v>
      </c>
      <c r="E49">
        <v>543</v>
      </c>
      <c r="F49">
        <v>109</v>
      </c>
      <c r="G49">
        <v>0</v>
      </c>
      <c r="H49">
        <v>77</v>
      </c>
      <c r="I49">
        <v>4.45</v>
      </c>
      <c r="J49">
        <v>91.6</v>
      </c>
      <c r="K49" s="1" t="s">
        <v>115</v>
      </c>
      <c r="L49">
        <v>13453</v>
      </c>
      <c r="M49">
        <v>308</v>
      </c>
      <c r="N49">
        <v>2.29</v>
      </c>
      <c r="O49" s="1" t="s">
        <v>20</v>
      </c>
    </row>
    <row r="50" spans="1:15" x14ac:dyDescent="0.35">
      <c r="A50" s="1" t="s">
        <v>116</v>
      </c>
      <c r="B50">
        <v>5059</v>
      </c>
      <c r="C50">
        <v>58</v>
      </c>
      <c r="D50">
        <v>4977</v>
      </c>
      <c r="E50">
        <v>24</v>
      </c>
      <c r="F50">
        <v>9</v>
      </c>
      <c r="G50">
        <v>0</v>
      </c>
      <c r="H50">
        <v>11</v>
      </c>
      <c r="I50">
        <v>1.1499999999999999</v>
      </c>
      <c r="J50">
        <v>98.38</v>
      </c>
      <c r="K50" s="1" t="s">
        <v>117</v>
      </c>
      <c r="L50">
        <v>5020</v>
      </c>
      <c r="M50">
        <v>39</v>
      </c>
      <c r="N50">
        <v>0.78</v>
      </c>
      <c r="O50" s="1" t="s">
        <v>17</v>
      </c>
    </row>
    <row r="51" spans="1:15" x14ac:dyDescent="0.35">
      <c r="A51" s="1" t="s">
        <v>118</v>
      </c>
      <c r="B51">
        <v>18</v>
      </c>
      <c r="C51">
        <v>0</v>
      </c>
      <c r="D51">
        <v>18</v>
      </c>
      <c r="E51">
        <v>0</v>
      </c>
      <c r="F51">
        <v>0</v>
      </c>
      <c r="G51">
        <v>0</v>
      </c>
      <c r="H51">
        <v>0</v>
      </c>
      <c r="I51">
        <v>0</v>
      </c>
      <c r="J51">
        <v>100</v>
      </c>
      <c r="K51" s="1" t="s">
        <v>60</v>
      </c>
      <c r="L51">
        <v>18</v>
      </c>
      <c r="M51">
        <v>0</v>
      </c>
      <c r="N51">
        <v>0</v>
      </c>
      <c r="O51" s="1" t="s">
        <v>30</v>
      </c>
    </row>
    <row r="52" spans="1:15" x14ac:dyDescent="0.35">
      <c r="A52" s="1" t="s">
        <v>119</v>
      </c>
      <c r="B52">
        <v>64156</v>
      </c>
      <c r="C52">
        <v>1083</v>
      </c>
      <c r="D52">
        <v>30204</v>
      </c>
      <c r="E52">
        <v>32869</v>
      </c>
      <c r="F52">
        <v>1248</v>
      </c>
      <c r="G52">
        <v>20</v>
      </c>
      <c r="H52">
        <v>1601</v>
      </c>
      <c r="I52">
        <v>1.69</v>
      </c>
      <c r="J52">
        <v>47.08</v>
      </c>
      <c r="K52" s="1" t="s">
        <v>120</v>
      </c>
      <c r="L52">
        <v>53956</v>
      </c>
      <c r="M52">
        <v>10200</v>
      </c>
      <c r="N52">
        <v>18.899999999999999</v>
      </c>
      <c r="O52" s="1" t="s">
        <v>30</v>
      </c>
    </row>
    <row r="53" spans="1:15" x14ac:dyDescent="0.35">
      <c r="A53" s="1" t="s">
        <v>121</v>
      </c>
      <c r="B53">
        <v>81161</v>
      </c>
      <c r="C53">
        <v>5532</v>
      </c>
      <c r="D53">
        <v>34896</v>
      </c>
      <c r="E53">
        <v>40733</v>
      </c>
      <c r="F53">
        <v>467</v>
      </c>
      <c r="G53">
        <v>17</v>
      </c>
      <c r="H53">
        <v>0</v>
      </c>
      <c r="I53">
        <v>6.82</v>
      </c>
      <c r="J53">
        <v>43</v>
      </c>
      <c r="K53" s="1" t="s">
        <v>122</v>
      </c>
      <c r="L53">
        <v>74620</v>
      </c>
      <c r="M53">
        <v>6541</v>
      </c>
      <c r="N53">
        <v>8.77</v>
      </c>
      <c r="O53" s="1" t="s">
        <v>30</v>
      </c>
    </row>
    <row r="54" spans="1:15" x14ac:dyDescent="0.35">
      <c r="A54" s="1" t="s">
        <v>123</v>
      </c>
      <c r="B54">
        <v>92482</v>
      </c>
      <c r="C54">
        <v>4652</v>
      </c>
      <c r="D54">
        <v>34838</v>
      </c>
      <c r="E54">
        <v>52992</v>
      </c>
      <c r="F54">
        <v>420</v>
      </c>
      <c r="G54">
        <v>46</v>
      </c>
      <c r="H54">
        <v>1007</v>
      </c>
      <c r="I54">
        <v>5.03</v>
      </c>
      <c r="J54">
        <v>37.67</v>
      </c>
      <c r="K54" s="1" t="s">
        <v>124</v>
      </c>
      <c r="L54">
        <v>88402</v>
      </c>
      <c r="M54">
        <v>4080</v>
      </c>
      <c r="N54">
        <v>4.62</v>
      </c>
      <c r="O54" s="1" t="s">
        <v>17</v>
      </c>
    </row>
    <row r="55" spans="1:15" x14ac:dyDescent="0.35">
      <c r="A55" s="1" t="s">
        <v>125</v>
      </c>
      <c r="B55">
        <v>15035</v>
      </c>
      <c r="C55">
        <v>408</v>
      </c>
      <c r="D55">
        <v>7778</v>
      </c>
      <c r="E55">
        <v>6849</v>
      </c>
      <c r="F55">
        <v>405</v>
      </c>
      <c r="G55">
        <v>8</v>
      </c>
      <c r="H55">
        <v>130</v>
      </c>
      <c r="I55">
        <v>2.71</v>
      </c>
      <c r="J55">
        <v>51.73</v>
      </c>
      <c r="K55" s="1" t="s">
        <v>19</v>
      </c>
      <c r="L55">
        <v>12207</v>
      </c>
      <c r="M55">
        <v>2828</v>
      </c>
      <c r="N55">
        <v>23.17</v>
      </c>
      <c r="O55" s="1" t="s">
        <v>30</v>
      </c>
    </row>
    <row r="56" spans="1:15" x14ac:dyDescent="0.35">
      <c r="A56" s="1" t="s">
        <v>126</v>
      </c>
      <c r="B56">
        <v>3071</v>
      </c>
      <c r="C56">
        <v>51</v>
      </c>
      <c r="D56">
        <v>842</v>
      </c>
      <c r="E56">
        <v>2178</v>
      </c>
      <c r="F56">
        <v>0</v>
      </c>
      <c r="G56">
        <v>0</v>
      </c>
      <c r="H56">
        <v>0</v>
      </c>
      <c r="I56">
        <v>1.66</v>
      </c>
      <c r="J56">
        <v>27.42</v>
      </c>
      <c r="K56" s="1" t="s">
        <v>127</v>
      </c>
      <c r="L56">
        <v>3071</v>
      </c>
      <c r="M56">
        <v>0</v>
      </c>
      <c r="N56">
        <v>0</v>
      </c>
      <c r="O56" s="1" t="s">
        <v>23</v>
      </c>
    </row>
    <row r="57" spans="1:15" x14ac:dyDescent="0.35">
      <c r="A57" s="1" t="s">
        <v>128</v>
      </c>
      <c r="B57">
        <v>265</v>
      </c>
      <c r="C57">
        <v>0</v>
      </c>
      <c r="D57">
        <v>191</v>
      </c>
      <c r="E57">
        <v>74</v>
      </c>
      <c r="F57">
        <v>2</v>
      </c>
      <c r="G57">
        <v>0</v>
      </c>
      <c r="H57">
        <v>2</v>
      </c>
      <c r="I57">
        <v>0</v>
      </c>
      <c r="J57">
        <v>72.08</v>
      </c>
      <c r="K57" s="1" t="s">
        <v>60</v>
      </c>
      <c r="L57">
        <v>251</v>
      </c>
      <c r="M57">
        <v>14</v>
      </c>
      <c r="N57">
        <v>5.58</v>
      </c>
      <c r="O57" s="1" t="s">
        <v>23</v>
      </c>
    </row>
    <row r="58" spans="1:15" x14ac:dyDescent="0.35">
      <c r="A58" s="1" t="s">
        <v>129</v>
      </c>
      <c r="B58">
        <v>2034</v>
      </c>
      <c r="C58">
        <v>69</v>
      </c>
      <c r="D58">
        <v>1923</v>
      </c>
      <c r="E58">
        <v>42</v>
      </c>
      <c r="F58">
        <v>0</v>
      </c>
      <c r="G58">
        <v>0</v>
      </c>
      <c r="H58">
        <v>1</v>
      </c>
      <c r="I58">
        <v>3.39</v>
      </c>
      <c r="J58">
        <v>94.54</v>
      </c>
      <c r="K58" s="1" t="s">
        <v>120</v>
      </c>
      <c r="L58">
        <v>2021</v>
      </c>
      <c r="M58">
        <v>13</v>
      </c>
      <c r="N58">
        <v>0.64</v>
      </c>
      <c r="O58" s="1" t="s">
        <v>20</v>
      </c>
    </row>
    <row r="59" spans="1:15" x14ac:dyDescent="0.35">
      <c r="A59" s="1" t="s">
        <v>130</v>
      </c>
      <c r="B59">
        <v>2316</v>
      </c>
      <c r="C59">
        <v>34</v>
      </c>
      <c r="D59">
        <v>1025</v>
      </c>
      <c r="E59">
        <v>1257</v>
      </c>
      <c r="F59">
        <v>109</v>
      </c>
      <c r="G59">
        <v>2</v>
      </c>
      <c r="H59">
        <v>39</v>
      </c>
      <c r="I59">
        <v>1.47</v>
      </c>
      <c r="J59">
        <v>44.26</v>
      </c>
      <c r="K59" s="1" t="s">
        <v>131</v>
      </c>
      <c r="L59">
        <v>1826</v>
      </c>
      <c r="M59">
        <v>490</v>
      </c>
      <c r="N59">
        <v>26.83</v>
      </c>
      <c r="O59" s="1" t="s">
        <v>23</v>
      </c>
    </row>
    <row r="60" spans="1:15" x14ac:dyDescent="0.35">
      <c r="A60" s="1" t="s">
        <v>132</v>
      </c>
      <c r="B60">
        <v>14547</v>
      </c>
      <c r="C60">
        <v>228</v>
      </c>
      <c r="D60">
        <v>6386</v>
      </c>
      <c r="E60">
        <v>7933</v>
      </c>
      <c r="F60">
        <v>579</v>
      </c>
      <c r="G60">
        <v>5</v>
      </c>
      <c r="H60">
        <v>170</v>
      </c>
      <c r="I60">
        <v>1.57</v>
      </c>
      <c r="J60">
        <v>43.9</v>
      </c>
      <c r="K60" s="1" t="s">
        <v>133</v>
      </c>
      <c r="L60">
        <v>10207</v>
      </c>
      <c r="M60">
        <v>4340</v>
      </c>
      <c r="N60">
        <v>42.52</v>
      </c>
      <c r="O60" s="1" t="s">
        <v>23</v>
      </c>
    </row>
    <row r="61" spans="1:15" x14ac:dyDescent="0.35">
      <c r="A61" s="1" t="s">
        <v>134</v>
      </c>
      <c r="B61">
        <v>27</v>
      </c>
      <c r="C61">
        <v>0</v>
      </c>
      <c r="D61">
        <v>18</v>
      </c>
      <c r="E61">
        <v>9</v>
      </c>
      <c r="F61">
        <v>0</v>
      </c>
      <c r="G61">
        <v>0</v>
      </c>
      <c r="H61">
        <v>0</v>
      </c>
      <c r="I61">
        <v>0</v>
      </c>
      <c r="J61">
        <v>66.67</v>
      </c>
      <c r="K61" s="1" t="s">
        <v>60</v>
      </c>
      <c r="L61">
        <v>27</v>
      </c>
      <c r="M61">
        <v>0</v>
      </c>
      <c r="N61">
        <v>0</v>
      </c>
      <c r="O61" s="1" t="s">
        <v>37</v>
      </c>
    </row>
    <row r="62" spans="1:15" x14ac:dyDescent="0.35">
      <c r="A62" s="1" t="s">
        <v>135</v>
      </c>
      <c r="B62">
        <v>7398</v>
      </c>
      <c r="C62">
        <v>329</v>
      </c>
      <c r="D62">
        <v>6920</v>
      </c>
      <c r="E62">
        <v>149</v>
      </c>
      <c r="F62">
        <v>5</v>
      </c>
      <c r="G62">
        <v>0</v>
      </c>
      <c r="H62">
        <v>0</v>
      </c>
      <c r="I62">
        <v>4.45</v>
      </c>
      <c r="J62">
        <v>93.54</v>
      </c>
      <c r="K62" s="1" t="s">
        <v>136</v>
      </c>
      <c r="L62">
        <v>7340</v>
      </c>
      <c r="M62">
        <v>58</v>
      </c>
      <c r="N62">
        <v>0.79</v>
      </c>
      <c r="O62" s="1" t="s">
        <v>20</v>
      </c>
    </row>
    <row r="63" spans="1:15" x14ac:dyDescent="0.35">
      <c r="A63" s="1" t="s">
        <v>137</v>
      </c>
      <c r="B63">
        <v>220352</v>
      </c>
      <c r="C63">
        <v>30212</v>
      </c>
      <c r="D63">
        <v>81212</v>
      </c>
      <c r="E63">
        <v>108928</v>
      </c>
      <c r="F63">
        <v>2551</v>
      </c>
      <c r="G63">
        <v>17</v>
      </c>
      <c r="H63">
        <v>267</v>
      </c>
      <c r="I63">
        <v>13.71</v>
      </c>
      <c r="J63">
        <v>36.86</v>
      </c>
      <c r="K63" s="1" t="s">
        <v>138</v>
      </c>
      <c r="L63">
        <v>214023</v>
      </c>
      <c r="M63">
        <v>6329</v>
      </c>
      <c r="N63">
        <v>2.96</v>
      </c>
      <c r="O63" s="1" t="s">
        <v>20</v>
      </c>
    </row>
    <row r="64" spans="1:15" x14ac:dyDescent="0.35">
      <c r="A64" s="1" t="s">
        <v>139</v>
      </c>
      <c r="B64">
        <v>7189</v>
      </c>
      <c r="C64">
        <v>49</v>
      </c>
      <c r="D64">
        <v>4682</v>
      </c>
      <c r="E64">
        <v>2458</v>
      </c>
      <c r="F64">
        <v>205</v>
      </c>
      <c r="G64">
        <v>0</v>
      </c>
      <c r="H64">
        <v>219</v>
      </c>
      <c r="I64">
        <v>0.68</v>
      </c>
      <c r="J64">
        <v>65.13</v>
      </c>
      <c r="K64" s="1" t="s">
        <v>140</v>
      </c>
      <c r="L64">
        <v>6433</v>
      </c>
      <c r="M64">
        <v>756</v>
      </c>
      <c r="N64">
        <v>11.75</v>
      </c>
      <c r="O64" s="1" t="s">
        <v>23</v>
      </c>
    </row>
    <row r="65" spans="1:15" x14ac:dyDescent="0.35">
      <c r="A65" s="1" t="s">
        <v>141</v>
      </c>
      <c r="B65">
        <v>326</v>
      </c>
      <c r="C65">
        <v>8</v>
      </c>
      <c r="D65">
        <v>66</v>
      </c>
      <c r="E65">
        <v>252</v>
      </c>
      <c r="F65">
        <v>49</v>
      </c>
      <c r="G65">
        <v>2</v>
      </c>
      <c r="H65">
        <v>6</v>
      </c>
      <c r="I65">
        <v>2.4500000000000002</v>
      </c>
      <c r="J65">
        <v>20.25</v>
      </c>
      <c r="K65" s="1" t="s">
        <v>142</v>
      </c>
      <c r="L65">
        <v>112</v>
      </c>
      <c r="M65">
        <v>214</v>
      </c>
      <c r="N65">
        <v>191.07</v>
      </c>
      <c r="O65" s="1" t="s">
        <v>23</v>
      </c>
    </row>
    <row r="66" spans="1:15" x14ac:dyDescent="0.35">
      <c r="A66" s="1" t="s">
        <v>143</v>
      </c>
      <c r="B66">
        <v>1137</v>
      </c>
      <c r="C66">
        <v>16</v>
      </c>
      <c r="D66">
        <v>922</v>
      </c>
      <c r="E66">
        <v>199</v>
      </c>
      <c r="F66">
        <v>6</v>
      </c>
      <c r="G66">
        <v>0</v>
      </c>
      <c r="H66">
        <v>2</v>
      </c>
      <c r="I66">
        <v>1.41</v>
      </c>
      <c r="J66">
        <v>81.09</v>
      </c>
      <c r="K66" s="1" t="s">
        <v>144</v>
      </c>
      <c r="L66">
        <v>1039</v>
      </c>
      <c r="M66">
        <v>98</v>
      </c>
      <c r="N66">
        <v>9.43</v>
      </c>
      <c r="O66" s="1" t="s">
        <v>20</v>
      </c>
    </row>
    <row r="67" spans="1:15" x14ac:dyDescent="0.35">
      <c r="A67" s="1" t="s">
        <v>145</v>
      </c>
      <c r="B67">
        <v>207112</v>
      </c>
      <c r="C67">
        <v>9125</v>
      </c>
      <c r="D67">
        <v>190314</v>
      </c>
      <c r="E67">
        <v>7673</v>
      </c>
      <c r="F67">
        <v>445</v>
      </c>
      <c r="G67">
        <v>1</v>
      </c>
      <c r="H67">
        <v>259</v>
      </c>
      <c r="I67">
        <v>4.41</v>
      </c>
      <c r="J67">
        <v>91.89</v>
      </c>
      <c r="K67" s="1" t="s">
        <v>146</v>
      </c>
      <c r="L67">
        <v>203325</v>
      </c>
      <c r="M67">
        <v>3787</v>
      </c>
      <c r="N67">
        <v>1.86</v>
      </c>
      <c r="O67" s="1" t="s">
        <v>20</v>
      </c>
    </row>
    <row r="68" spans="1:15" x14ac:dyDescent="0.35">
      <c r="A68" s="1" t="s">
        <v>147</v>
      </c>
      <c r="B68">
        <v>33624</v>
      </c>
      <c r="C68">
        <v>168</v>
      </c>
      <c r="D68">
        <v>29801</v>
      </c>
      <c r="E68">
        <v>3655</v>
      </c>
      <c r="F68">
        <v>655</v>
      </c>
      <c r="G68">
        <v>0</v>
      </c>
      <c r="H68">
        <v>307</v>
      </c>
      <c r="I68">
        <v>0.5</v>
      </c>
      <c r="J68">
        <v>88.63</v>
      </c>
      <c r="K68" s="1" t="s">
        <v>148</v>
      </c>
      <c r="L68">
        <v>28430</v>
      </c>
      <c r="M68">
        <v>5194</v>
      </c>
      <c r="N68">
        <v>18.27</v>
      </c>
      <c r="O68" s="1" t="s">
        <v>23</v>
      </c>
    </row>
    <row r="69" spans="1:15" x14ac:dyDescent="0.35">
      <c r="A69" s="1" t="s">
        <v>149</v>
      </c>
      <c r="B69">
        <v>4227</v>
      </c>
      <c r="C69">
        <v>202</v>
      </c>
      <c r="D69">
        <v>1374</v>
      </c>
      <c r="E69">
        <v>2651</v>
      </c>
      <c r="F69">
        <v>34</v>
      </c>
      <c r="G69">
        <v>0</v>
      </c>
      <c r="H69">
        <v>0</v>
      </c>
      <c r="I69">
        <v>4.78</v>
      </c>
      <c r="J69">
        <v>32.51</v>
      </c>
      <c r="K69" s="1" t="s">
        <v>150</v>
      </c>
      <c r="L69">
        <v>4012</v>
      </c>
      <c r="M69">
        <v>215</v>
      </c>
      <c r="N69">
        <v>5.36</v>
      </c>
      <c r="O69" s="1" t="s">
        <v>20</v>
      </c>
    </row>
    <row r="70" spans="1:15" x14ac:dyDescent="0.35">
      <c r="A70" s="1" t="s">
        <v>151</v>
      </c>
      <c r="B70">
        <v>14</v>
      </c>
      <c r="C70">
        <v>0</v>
      </c>
      <c r="D70">
        <v>13</v>
      </c>
      <c r="E70">
        <v>1</v>
      </c>
      <c r="F70">
        <v>1</v>
      </c>
      <c r="G70">
        <v>0</v>
      </c>
      <c r="H70">
        <v>0</v>
      </c>
      <c r="I70">
        <v>0</v>
      </c>
      <c r="J70">
        <v>92.86</v>
      </c>
      <c r="K70" s="1" t="s">
        <v>60</v>
      </c>
      <c r="L70">
        <v>13</v>
      </c>
      <c r="M70">
        <v>1</v>
      </c>
      <c r="N70">
        <v>7.69</v>
      </c>
      <c r="O70" s="1" t="s">
        <v>20</v>
      </c>
    </row>
    <row r="71" spans="1:15" x14ac:dyDescent="0.35">
      <c r="A71" s="1" t="s">
        <v>152</v>
      </c>
      <c r="B71">
        <v>23</v>
      </c>
      <c r="C71">
        <v>0</v>
      </c>
      <c r="D71">
        <v>23</v>
      </c>
      <c r="E71">
        <v>0</v>
      </c>
      <c r="F71">
        <v>0</v>
      </c>
      <c r="G71">
        <v>0</v>
      </c>
      <c r="H71">
        <v>0</v>
      </c>
      <c r="I71">
        <v>0</v>
      </c>
      <c r="J71">
        <v>100</v>
      </c>
      <c r="K71" s="1" t="s">
        <v>60</v>
      </c>
      <c r="L71">
        <v>23</v>
      </c>
      <c r="M71">
        <v>0</v>
      </c>
      <c r="N71">
        <v>0</v>
      </c>
      <c r="O71" s="1" t="s">
        <v>30</v>
      </c>
    </row>
    <row r="72" spans="1:15" x14ac:dyDescent="0.35">
      <c r="A72" s="1" t="s">
        <v>153</v>
      </c>
      <c r="B72">
        <v>45309</v>
      </c>
      <c r="C72">
        <v>1761</v>
      </c>
      <c r="D72">
        <v>32455</v>
      </c>
      <c r="E72">
        <v>11093</v>
      </c>
      <c r="F72">
        <v>256</v>
      </c>
      <c r="G72">
        <v>27</v>
      </c>
      <c r="H72">
        <v>843</v>
      </c>
      <c r="I72">
        <v>3.89</v>
      </c>
      <c r="J72">
        <v>71.63</v>
      </c>
      <c r="K72" s="1" t="s">
        <v>154</v>
      </c>
      <c r="L72">
        <v>39039</v>
      </c>
      <c r="M72">
        <v>6270</v>
      </c>
      <c r="N72">
        <v>16.059999999999999</v>
      </c>
      <c r="O72" s="1" t="s">
        <v>30</v>
      </c>
    </row>
    <row r="73" spans="1:15" x14ac:dyDescent="0.35">
      <c r="A73" s="1" t="s">
        <v>155</v>
      </c>
      <c r="B73">
        <v>7055</v>
      </c>
      <c r="C73">
        <v>45</v>
      </c>
      <c r="D73">
        <v>6257</v>
      </c>
      <c r="E73">
        <v>753</v>
      </c>
      <c r="F73">
        <v>47</v>
      </c>
      <c r="G73">
        <v>2</v>
      </c>
      <c r="H73">
        <v>105</v>
      </c>
      <c r="I73">
        <v>0.64</v>
      </c>
      <c r="J73">
        <v>88.69</v>
      </c>
      <c r="K73" s="1" t="s">
        <v>156</v>
      </c>
      <c r="L73">
        <v>6590</v>
      </c>
      <c r="M73">
        <v>465</v>
      </c>
      <c r="N73">
        <v>7.06</v>
      </c>
      <c r="O73" s="1" t="s">
        <v>23</v>
      </c>
    </row>
    <row r="74" spans="1:15" x14ac:dyDescent="0.35">
      <c r="A74" s="1" t="s">
        <v>157</v>
      </c>
      <c r="B74">
        <v>1954</v>
      </c>
      <c r="C74">
        <v>26</v>
      </c>
      <c r="D74">
        <v>803</v>
      </c>
      <c r="E74">
        <v>1125</v>
      </c>
      <c r="F74">
        <v>0</v>
      </c>
      <c r="G74">
        <v>0</v>
      </c>
      <c r="H74">
        <v>0</v>
      </c>
      <c r="I74">
        <v>1.33</v>
      </c>
      <c r="J74">
        <v>41.1</v>
      </c>
      <c r="K74" s="1" t="s">
        <v>158</v>
      </c>
      <c r="L74">
        <v>1949</v>
      </c>
      <c r="M74">
        <v>5</v>
      </c>
      <c r="N74">
        <v>0.26</v>
      </c>
      <c r="O74" s="1" t="s">
        <v>23</v>
      </c>
    </row>
    <row r="75" spans="1:15" x14ac:dyDescent="0.35">
      <c r="A75" s="1" t="s">
        <v>159</v>
      </c>
      <c r="B75">
        <v>389</v>
      </c>
      <c r="C75">
        <v>20</v>
      </c>
      <c r="D75">
        <v>181</v>
      </c>
      <c r="E75">
        <v>188</v>
      </c>
      <c r="F75">
        <v>19</v>
      </c>
      <c r="G75">
        <v>0</v>
      </c>
      <c r="H75">
        <v>0</v>
      </c>
      <c r="I75">
        <v>5.14</v>
      </c>
      <c r="J75">
        <v>46.53</v>
      </c>
      <c r="K75" s="1" t="s">
        <v>160</v>
      </c>
      <c r="L75">
        <v>337</v>
      </c>
      <c r="M75">
        <v>52</v>
      </c>
      <c r="N75">
        <v>15.43</v>
      </c>
      <c r="O75" s="1" t="s">
        <v>30</v>
      </c>
    </row>
    <row r="76" spans="1:15" x14ac:dyDescent="0.35">
      <c r="A76" s="1" t="s">
        <v>161</v>
      </c>
      <c r="B76">
        <v>7340</v>
      </c>
      <c r="C76">
        <v>158</v>
      </c>
      <c r="D76">
        <v>4365</v>
      </c>
      <c r="E76">
        <v>2817</v>
      </c>
      <c r="F76">
        <v>25</v>
      </c>
      <c r="G76">
        <v>1</v>
      </c>
      <c r="H76">
        <v>0</v>
      </c>
      <c r="I76">
        <v>2.15</v>
      </c>
      <c r="J76">
        <v>59.47</v>
      </c>
      <c r="K76" s="1" t="s">
        <v>162</v>
      </c>
      <c r="L76">
        <v>7053</v>
      </c>
      <c r="M76">
        <v>287</v>
      </c>
      <c r="N76">
        <v>4.07</v>
      </c>
      <c r="O76" s="1" t="s">
        <v>30</v>
      </c>
    </row>
    <row r="77" spans="1:15" x14ac:dyDescent="0.35">
      <c r="A77" s="1" t="s">
        <v>163</v>
      </c>
      <c r="B77">
        <v>12</v>
      </c>
      <c r="C77">
        <v>0</v>
      </c>
      <c r="D77">
        <v>12</v>
      </c>
      <c r="E77">
        <v>0</v>
      </c>
      <c r="F77">
        <v>0</v>
      </c>
      <c r="G77">
        <v>0</v>
      </c>
      <c r="H77">
        <v>0</v>
      </c>
      <c r="I77">
        <v>0</v>
      </c>
      <c r="J77">
        <v>100</v>
      </c>
      <c r="K77" s="1" t="s">
        <v>60</v>
      </c>
      <c r="L77">
        <v>12</v>
      </c>
      <c r="M77">
        <v>0</v>
      </c>
      <c r="N77">
        <v>0</v>
      </c>
      <c r="O77" s="1" t="s">
        <v>20</v>
      </c>
    </row>
    <row r="78" spans="1:15" x14ac:dyDescent="0.35">
      <c r="A78" s="1" t="s">
        <v>164</v>
      </c>
      <c r="B78">
        <v>39741</v>
      </c>
      <c r="C78">
        <v>1166</v>
      </c>
      <c r="D78">
        <v>5039</v>
      </c>
      <c r="E78">
        <v>33536</v>
      </c>
      <c r="F78">
        <v>465</v>
      </c>
      <c r="G78">
        <v>50</v>
      </c>
      <c r="H78">
        <v>117</v>
      </c>
      <c r="I78">
        <v>2.93</v>
      </c>
      <c r="J78">
        <v>12.68</v>
      </c>
      <c r="K78" s="1" t="s">
        <v>165</v>
      </c>
      <c r="L78">
        <v>34611</v>
      </c>
      <c r="M78">
        <v>5130</v>
      </c>
      <c r="N78">
        <v>14.82</v>
      </c>
      <c r="O78" s="1" t="s">
        <v>30</v>
      </c>
    </row>
    <row r="79" spans="1:15" x14ac:dyDescent="0.35">
      <c r="A79" s="1" t="s">
        <v>166</v>
      </c>
      <c r="B79">
        <v>4448</v>
      </c>
      <c r="C79">
        <v>596</v>
      </c>
      <c r="D79">
        <v>3329</v>
      </c>
      <c r="E79">
        <v>523</v>
      </c>
      <c r="F79">
        <v>13</v>
      </c>
      <c r="G79">
        <v>0</v>
      </c>
      <c r="H79">
        <v>0</v>
      </c>
      <c r="I79">
        <v>13.4</v>
      </c>
      <c r="J79">
        <v>74.84</v>
      </c>
      <c r="K79" s="1" t="s">
        <v>167</v>
      </c>
      <c r="L79">
        <v>4339</v>
      </c>
      <c r="M79">
        <v>109</v>
      </c>
      <c r="N79">
        <v>2.5099999999999998</v>
      </c>
      <c r="O79" s="1" t="s">
        <v>20</v>
      </c>
    </row>
    <row r="80" spans="1:15" x14ac:dyDescent="0.35">
      <c r="A80" s="1" t="s">
        <v>168</v>
      </c>
      <c r="B80">
        <v>1854</v>
      </c>
      <c r="C80">
        <v>10</v>
      </c>
      <c r="D80">
        <v>1823</v>
      </c>
      <c r="E80">
        <v>21</v>
      </c>
      <c r="F80">
        <v>7</v>
      </c>
      <c r="G80">
        <v>0</v>
      </c>
      <c r="H80">
        <v>0</v>
      </c>
      <c r="I80">
        <v>0.54</v>
      </c>
      <c r="J80">
        <v>98.33</v>
      </c>
      <c r="K80" s="1" t="s">
        <v>169</v>
      </c>
      <c r="L80">
        <v>1839</v>
      </c>
      <c r="M80">
        <v>15</v>
      </c>
      <c r="N80">
        <v>0.82</v>
      </c>
      <c r="O80" s="1" t="s">
        <v>20</v>
      </c>
    </row>
    <row r="81" spans="1:15" x14ac:dyDescent="0.35">
      <c r="A81" s="1" t="s">
        <v>170</v>
      </c>
      <c r="B81">
        <v>1480073</v>
      </c>
      <c r="C81">
        <v>33408</v>
      </c>
      <c r="D81">
        <v>951166</v>
      </c>
      <c r="E81">
        <v>495499</v>
      </c>
      <c r="F81">
        <v>44457</v>
      </c>
      <c r="G81">
        <v>637</v>
      </c>
      <c r="H81">
        <v>33598</v>
      </c>
      <c r="I81">
        <v>2.2599999999999998</v>
      </c>
      <c r="J81">
        <v>64.260000000000005</v>
      </c>
      <c r="K81" s="1" t="s">
        <v>171</v>
      </c>
      <c r="L81">
        <v>1155338</v>
      </c>
      <c r="M81">
        <v>324735</v>
      </c>
      <c r="N81">
        <v>28.11</v>
      </c>
      <c r="O81" s="1" t="s">
        <v>48</v>
      </c>
    </row>
    <row r="82" spans="1:15" x14ac:dyDescent="0.35">
      <c r="A82" s="1" t="s">
        <v>172</v>
      </c>
      <c r="B82">
        <v>100303</v>
      </c>
      <c r="C82">
        <v>4838</v>
      </c>
      <c r="D82">
        <v>58173</v>
      </c>
      <c r="E82">
        <v>37292</v>
      </c>
      <c r="F82">
        <v>1525</v>
      </c>
      <c r="G82">
        <v>57</v>
      </c>
      <c r="H82">
        <v>1518</v>
      </c>
      <c r="I82">
        <v>4.82</v>
      </c>
      <c r="J82">
        <v>58</v>
      </c>
      <c r="K82" s="1" t="s">
        <v>173</v>
      </c>
      <c r="L82">
        <v>88214</v>
      </c>
      <c r="M82">
        <v>12089</v>
      </c>
      <c r="N82">
        <v>13.7</v>
      </c>
      <c r="O82" s="1" t="s">
        <v>48</v>
      </c>
    </row>
    <row r="83" spans="1:15" x14ac:dyDescent="0.35">
      <c r="A83" s="1" t="s">
        <v>174</v>
      </c>
      <c r="B83">
        <v>293606</v>
      </c>
      <c r="C83">
        <v>15912</v>
      </c>
      <c r="D83">
        <v>255144</v>
      </c>
      <c r="E83">
        <v>22550</v>
      </c>
      <c r="F83">
        <v>2434</v>
      </c>
      <c r="G83">
        <v>212</v>
      </c>
      <c r="H83">
        <v>1931</v>
      </c>
      <c r="I83">
        <v>5.42</v>
      </c>
      <c r="J83">
        <v>86.9</v>
      </c>
      <c r="K83" s="1" t="s">
        <v>175</v>
      </c>
      <c r="L83">
        <v>276202</v>
      </c>
      <c r="M83">
        <v>17404</v>
      </c>
      <c r="N83">
        <v>6.3</v>
      </c>
      <c r="O83" s="1" t="s">
        <v>17</v>
      </c>
    </row>
    <row r="84" spans="1:15" x14ac:dyDescent="0.35">
      <c r="A84" s="1" t="s">
        <v>176</v>
      </c>
      <c r="B84">
        <v>112585</v>
      </c>
      <c r="C84">
        <v>4458</v>
      </c>
      <c r="D84">
        <v>77144</v>
      </c>
      <c r="E84">
        <v>30983</v>
      </c>
      <c r="F84">
        <v>2553</v>
      </c>
      <c r="G84">
        <v>96</v>
      </c>
      <c r="H84">
        <v>1927</v>
      </c>
      <c r="I84">
        <v>3.96</v>
      </c>
      <c r="J84">
        <v>68.52</v>
      </c>
      <c r="K84" s="1" t="s">
        <v>177</v>
      </c>
      <c r="L84">
        <v>94693</v>
      </c>
      <c r="M84">
        <v>17892</v>
      </c>
      <c r="N84">
        <v>18.89</v>
      </c>
      <c r="O84" s="1" t="s">
        <v>17</v>
      </c>
    </row>
    <row r="85" spans="1:15" x14ac:dyDescent="0.35">
      <c r="A85" s="1" t="s">
        <v>178</v>
      </c>
      <c r="B85">
        <v>25892</v>
      </c>
      <c r="C85">
        <v>1764</v>
      </c>
      <c r="D85">
        <v>23364</v>
      </c>
      <c r="E85">
        <v>764</v>
      </c>
      <c r="F85">
        <v>11</v>
      </c>
      <c r="G85">
        <v>0</v>
      </c>
      <c r="H85">
        <v>0</v>
      </c>
      <c r="I85">
        <v>6.81</v>
      </c>
      <c r="J85">
        <v>90.24</v>
      </c>
      <c r="K85" s="1" t="s">
        <v>179</v>
      </c>
      <c r="L85">
        <v>25766</v>
      </c>
      <c r="M85">
        <v>126</v>
      </c>
      <c r="N85">
        <v>0.49</v>
      </c>
      <c r="O85" s="1" t="s">
        <v>20</v>
      </c>
    </row>
    <row r="86" spans="1:15" x14ac:dyDescent="0.35">
      <c r="A86" s="1" t="s">
        <v>180</v>
      </c>
      <c r="B86">
        <v>63985</v>
      </c>
      <c r="C86">
        <v>474</v>
      </c>
      <c r="D86">
        <v>27133</v>
      </c>
      <c r="E86">
        <v>36378</v>
      </c>
      <c r="F86">
        <v>2029</v>
      </c>
      <c r="G86">
        <v>4</v>
      </c>
      <c r="H86">
        <v>108</v>
      </c>
      <c r="I86">
        <v>0.74</v>
      </c>
      <c r="J86">
        <v>42.41</v>
      </c>
      <c r="K86" s="1" t="s">
        <v>181</v>
      </c>
      <c r="L86">
        <v>52003</v>
      </c>
      <c r="M86">
        <v>11982</v>
      </c>
      <c r="N86">
        <v>23.04</v>
      </c>
      <c r="O86" s="1" t="s">
        <v>20</v>
      </c>
    </row>
    <row r="87" spans="1:15" x14ac:dyDescent="0.35">
      <c r="A87" s="1" t="s">
        <v>182</v>
      </c>
      <c r="B87">
        <v>246286</v>
      </c>
      <c r="C87">
        <v>35112</v>
      </c>
      <c r="D87">
        <v>198593</v>
      </c>
      <c r="E87">
        <v>12581</v>
      </c>
      <c r="F87">
        <v>168</v>
      </c>
      <c r="G87">
        <v>5</v>
      </c>
      <c r="H87">
        <v>147</v>
      </c>
      <c r="I87">
        <v>14.26</v>
      </c>
      <c r="J87">
        <v>80.64</v>
      </c>
      <c r="K87" s="1" t="s">
        <v>183</v>
      </c>
      <c r="L87">
        <v>244624</v>
      </c>
      <c r="M87">
        <v>1662</v>
      </c>
      <c r="N87">
        <v>0.68</v>
      </c>
      <c r="O87" s="1" t="s">
        <v>20</v>
      </c>
    </row>
    <row r="88" spans="1:15" x14ac:dyDescent="0.35">
      <c r="A88" s="1" t="s">
        <v>184</v>
      </c>
      <c r="B88">
        <v>853</v>
      </c>
      <c r="C88">
        <v>10</v>
      </c>
      <c r="D88">
        <v>714</v>
      </c>
      <c r="E88">
        <v>129</v>
      </c>
      <c r="F88">
        <v>11</v>
      </c>
      <c r="G88">
        <v>0</v>
      </c>
      <c r="H88">
        <v>0</v>
      </c>
      <c r="I88">
        <v>1.17</v>
      </c>
      <c r="J88">
        <v>83.7</v>
      </c>
      <c r="K88" s="1" t="s">
        <v>185</v>
      </c>
      <c r="L88">
        <v>809</v>
      </c>
      <c r="M88">
        <v>44</v>
      </c>
      <c r="N88">
        <v>5.44</v>
      </c>
      <c r="O88" s="1" t="s">
        <v>30</v>
      </c>
    </row>
    <row r="89" spans="1:15" x14ac:dyDescent="0.35">
      <c r="A89" s="1" t="s">
        <v>186</v>
      </c>
      <c r="B89">
        <v>31142</v>
      </c>
      <c r="C89">
        <v>998</v>
      </c>
      <c r="D89">
        <v>21970</v>
      </c>
      <c r="E89">
        <v>8174</v>
      </c>
      <c r="F89">
        <v>594</v>
      </c>
      <c r="G89">
        <v>0</v>
      </c>
      <c r="H89">
        <v>364</v>
      </c>
      <c r="I89">
        <v>3.2</v>
      </c>
      <c r="J89">
        <v>70.55</v>
      </c>
      <c r="K89" s="1" t="s">
        <v>187</v>
      </c>
      <c r="L89">
        <v>25706</v>
      </c>
      <c r="M89">
        <v>5436</v>
      </c>
      <c r="N89">
        <v>21.15</v>
      </c>
      <c r="O89" s="1" t="s">
        <v>37</v>
      </c>
    </row>
    <row r="90" spans="1:15" x14ac:dyDescent="0.35">
      <c r="A90" s="1" t="s">
        <v>188</v>
      </c>
      <c r="B90">
        <v>1176</v>
      </c>
      <c r="C90">
        <v>11</v>
      </c>
      <c r="D90">
        <v>1041</v>
      </c>
      <c r="E90">
        <v>124</v>
      </c>
      <c r="F90">
        <v>8</v>
      </c>
      <c r="G90">
        <v>0</v>
      </c>
      <c r="H90">
        <v>0</v>
      </c>
      <c r="I90">
        <v>0.94</v>
      </c>
      <c r="J90">
        <v>88.52</v>
      </c>
      <c r="K90" s="1" t="s">
        <v>189</v>
      </c>
      <c r="L90">
        <v>1223</v>
      </c>
      <c r="M90">
        <v>-47</v>
      </c>
      <c r="N90">
        <v>-3.84</v>
      </c>
      <c r="O90" s="1" t="s">
        <v>17</v>
      </c>
    </row>
    <row r="91" spans="1:15" x14ac:dyDescent="0.35">
      <c r="A91" s="1" t="s">
        <v>190</v>
      </c>
      <c r="B91">
        <v>84648</v>
      </c>
      <c r="C91">
        <v>585</v>
      </c>
      <c r="D91">
        <v>54404</v>
      </c>
      <c r="E91">
        <v>29659</v>
      </c>
      <c r="F91">
        <v>1526</v>
      </c>
      <c r="G91">
        <v>0</v>
      </c>
      <c r="H91">
        <v>1833</v>
      </c>
      <c r="I91">
        <v>0.69</v>
      </c>
      <c r="J91">
        <v>64.27</v>
      </c>
      <c r="K91" s="1" t="s">
        <v>191</v>
      </c>
      <c r="L91">
        <v>73468</v>
      </c>
      <c r="M91">
        <v>11180</v>
      </c>
      <c r="N91">
        <v>15.22</v>
      </c>
      <c r="O91" s="1" t="s">
        <v>20</v>
      </c>
    </row>
    <row r="92" spans="1:15" x14ac:dyDescent="0.35">
      <c r="A92" s="1" t="s">
        <v>192</v>
      </c>
      <c r="B92">
        <v>17975</v>
      </c>
      <c r="C92">
        <v>285</v>
      </c>
      <c r="D92">
        <v>7833</v>
      </c>
      <c r="E92">
        <v>9857</v>
      </c>
      <c r="F92">
        <v>372</v>
      </c>
      <c r="G92">
        <v>5</v>
      </c>
      <c r="H92">
        <v>90</v>
      </c>
      <c r="I92">
        <v>1.59</v>
      </c>
      <c r="J92">
        <v>43.58</v>
      </c>
      <c r="K92" s="1" t="s">
        <v>193</v>
      </c>
      <c r="L92">
        <v>13771</v>
      </c>
      <c r="M92">
        <v>4204</v>
      </c>
      <c r="N92">
        <v>30.53</v>
      </c>
      <c r="O92" s="1" t="s">
        <v>23</v>
      </c>
    </row>
    <row r="93" spans="1:15" x14ac:dyDescent="0.35">
      <c r="A93" s="1" t="s">
        <v>194</v>
      </c>
      <c r="B93">
        <v>7413</v>
      </c>
      <c r="C93">
        <v>185</v>
      </c>
      <c r="D93">
        <v>4027</v>
      </c>
      <c r="E93">
        <v>3201</v>
      </c>
      <c r="F93">
        <v>496</v>
      </c>
      <c r="G93">
        <v>16</v>
      </c>
      <c r="H93">
        <v>274</v>
      </c>
      <c r="I93">
        <v>2.5</v>
      </c>
      <c r="J93">
        <v>54.32</v>
      </c>
      <c r="K93" s="1" t="s">
        <v>195</v>
      </c>
      <c r="L93">
        <v>5877</v>
      </c>
      <c r="M93">
        <v>1536</v>
      </c>
      <c r="N93">
        <v>26.14</v>
      </c>
      <c r="O93" s="1" t="s">
        <v>20</v>
      </c>
    </row>
    <row r="94" spans="1:15" x14ac:dyDescent="0.35">
      <c r="A94" s="1" t="s">
        <v>196</v>
      </c>
      <c r="B94">
        <v>64379</v>
      </c>
      <c r="C94">
        <v>438</v>
      </c>
      <c r="D94">
        <v>55057</v>
      </c>
      <c r="E94">
        <v>8884</v>
      </c>
      <c r="F94">
        <v>606</v>
      </c>
      <c r="G94">
        <v>5</v>
      </c>
      <c r="H94">
        <v>684</v>
      </c>
      <c r="I94">
        <v>0.68</v>
      </c>
      <c r="J94">
        <v>85.52</v>
      </c>
      <c r="K94" s="1" t="s">
        <v>197</v>
      </c>
      <c r="L94">
        <v>59763</v>
      </c>
      <c r="M94">
        <v>4616</v>
      </c>
      <c r="N94">
        <v>7.72</v>
      </c>
      <c r="O94" s="1" t="s">
        <v>17</v>
      </c>
    </row>
    <row r="95" spans="1:15" x14ac:dyDescent="0.35">
      <c r="A95" s="1" t="s">
        <v>198</v>
      </c>
      <c r="B95">
        <v>33296</v>
      </c>
      <c r="C95">
        <v>1301</v>
      </c>
      <c r="D95">
        <v>21205</v>
      </c>
      <c r="E95">
        <v>10790</v>
      </c>
      <c r="F95">
        <v>483</v>
      </c>
      <c r="G95">
        <v>24</v>
      </c>
      <c r="H95">
        <v>817</v>
      </c>
      <c r="I95">
        <v>3.91</v>
      </c>
      <c r="J95">
        <v>63.69</v>
      </c>
      <c r="K95" s="1" t="s">
        <v>199</v>
      </c>
      <c r="L95">
        <v>27143</v>
      </c>
      <c r="M95">
        <v>6153</v>
      </c>
      <c r="N95">
        <v>22.67</v>
      </c>
      <c r="O95" s="1" t="s">
        <v>20</v>
      </c>
    </row>
    <row r="96" spans="1:15" x14ac:dyDescent="0.35">
      <c r="A96" s="1" t="s">
        <v>200</v>
      </c>
      <c r="B96">
        <v>20</v>
      </c>
      <c r="C96">
        <v>0</v>
      </c>
      <c r="D96">
        <v>19</v>
      </c>
      <c r="E96">
        <v>1</v>
      </c>
      <c r="F96">
        <v>0</v>
      </c>
      <c r="G96">
        <v>0</v>
      </c>
      <c r="H96">
        <v>0</v>
      </c>
      <c r="I96">
        <v>0</v>
      </c>
      <c r="J96">
        <v>95</v>
      </c>
      <c r="K96" s="1" t="s">
        <v>60</v>
      </c>
      <c r="L96">
        <v>19</v>
      </c>
      <c r="M96">
        <v>1</v>
      </c>
      <c r="N96">
        <v>5.26</v>
      </c>
      <c r="O96" s="1" t="s">
        <v>37</v>
      </c>
    </row>
    <row r="97" spans="1:15" x14ac:dyDescent="0.35">
      <c r="A97" s="1" t="s">
        <v>201</v>
      </c>
      <c r="B97">
        <v>1219</v>
      </c>
      <c r="C97">
        <v>31</v>
      </c>
      <c r="D97">
        <v>1045</v>
      </c>
      <c r="E97">
        <v>143</v>
      </c>
      <c r="F97">
        <v>0</v>
      </c>
      <c r="G97">
        <v>0</v>
      </c>
      <c r="H97">
        <v>0</v>
      </c>
      <c r="I97">
        <v>2.54</v>
      </c>
      <c r="J97">
        <v>85.73</v>
      </c>
      <c r="K97" s="1" t="s">
        <v>202</v>
      </c>
      <c r="L97">
        <v>1192</v>
      </c>
      <c r="M97">
        <v>27</v>
      </c>
      <c r="N97">
        <v>2.27</v>
      </c>
      <c r="O97" s="1" t="s">
        <v>20</v>
      </c>
    </row>
    <row r="98" spans="1:15" x14ac:dyDescent="0.35">
      <c r="A98" s="1" t="s">
        <v>203</v>
      </c>
      <c r="B98">
        <v>3882</v>
      </c>
      <c r="C98">
        <v>51</v>
      </c>
      <c r="D98">
        <v>1709</v>
      </c>
      <c r="E98">
        <v>2122</v>
      </c>
      <c r="F98">
        <v>132</v>
      </c>
      <c r="G98">
        <v>0</v>
      </c>
      <c r="H98">
        <v>17</v>
      </c>
      <c r="I98">
        <v>1.31</v>
      </c>
      <c r="J98">
        <v>44.02</v>
      </c>
      <c r="K98" s="1" t="s">
        <v>204</v>
      </c>
      <c r="L98">
        <v>2905</v>
      </c>
      <c r="M98">
        <v>977</v>
      </c>
      <c r="N98">
        <v>33.630000000000003</v>
      </c>
      <c r="O98" s="1" t="s">
        <v>17</v>
      </c>
    </row>
    <row r="99" spans="1:15" x14ac:dyDescent="0.35">
      <c r="A99" s="1" t="s">
        <v>205</v>
      </c>
      <c r="B99">
        <v>505</v>
      </c>
      <c r="C99">
        <v>12</v>
      </c>
      <c r="D99">
        <v>128</v>
      </c>
      <c r="E99">
        <v>365</v>
      </c>
      <c r="F99">
        <v>0</v>
      </c>
      <c r="G99">
        <v>0</v>
      </c>
      <c r="H99">
        <v>0</v>
      </c>
      <c r="I99">
        <v>2.38</v>
      </c>
      <c r="J99">
        <v>25.35</v>
      </c>
      <c r="K99" s="1" t="s">
        <v>206</v>
      </c>
      <c r="L99">
        <v>359</v>
      </c>
      <c r="M99">
        <v>146</v>
      </c>
      <c r="N99">
        <v>40.67</v>
      </c>
      <c r="O99" s="1" t="s">
        <v>23</v>
      </c>
    </row>
    <row r="100" spans="1:15" x14ac:dyDescent="0.35">
      <c r="A100" s="1" t="s">
        <v>207</v>
      </c>
      <c r="B100">
        <v>1167</v>
      </c>
      <c r="C100">
        <v>72</v>
      </c>
      <c r="D100">
        <v>646</v>
      </c>
      <c r="E100">
        <v>449</v>
      </c>
      <c r="F100">
        <v>5</v>
      </c>
      <c r="G100">
        <v>0</v>
      </c>
      <c r="H100">
        <v>5</v>
      </c>
      <c r="I100">
        <v>6.17</v>
      </c>
      <c r="J100">
        <v>55.36</v>
      </c>
      <c r="K100" s="1" t="s">
        <v>208</v>
      </c>
      <c r="L100">
        <v>1107</v>
      </c>
      <c r="M100">
        <v>60</v>
      </c>
      <c r="N100">
        <v>5.42</v>
      </c>
      <c r="O100" s="1" t="s">
        <v>23</v>
      </c>
    </row>
    <row r="101" spans="1:15" x14ac:dyDescent="0.35">
      <c r="A101" s="1" t="s">
        <v>209</v>
      </c>
      <c r="B101">
        <v>2827</v>
      </c>
      <c r="C101">
        <v>64</v>
      </c>
      <c r="D101">
        <v>577</v>
      </c>
      <c r="E101">
        <v>2186</v>
      </c>
      <c r="F101">
        <v>158</v>
      </c>
      <c r="G101">
        <v>4</v>
      </c>
      <c r="H101">
        <v>24</v>
      </c>
      <c r="I101">
        <v>2.2599999999999998</v>
      </c>
      <c r="J101">
        <v>20.41</v>
      </c>
      <c r="K101" s="1" t="s">
        <v>210</v>
      </c>
      <c r="L101">
        <v>1980</v>
      </c>
      <c r="M101">
        <v>847</v>
      </c>
      <c r="N101">
        <v>42.78</v>
      </c>
      <c r="O101" s="1" t="s">
        <v>17</v>
      </c>
    </row>
    <row r="102" spans="1:15" x14ac:dyDescent="0.35">
      <c r="A102" s="1" t="s">
        <v>211</v>
      </c>
      <c r="B102">
        <v>86</v>
      </c>
      <c r="C102">
        <v>1</v>
      </c>
      <c r="D102">
        <v>81</v>
      </c>
      <c r="E102">
        <v>4</v>
      </c>
      <c r="F102">
        <v>0</v>
      </c>
      <c r="G102">
        <v>0</v>
      </c>
      <c r="H102">
        <v>0</v>
      </c>
      <c r="I102">
        <v>1.1599999999999999</v>
      </c>
      <c r="J102">
        <v>94.19</v>
      </c>
      <c r="K102" s="1" t="s">
        <v>212</v>
      </c>
      <c r="L102">
        <v>86</v>
      </c>
      <c r="M102">
        <v>0</v>
      </c>
      <c r="N102">
        <v>0</v>
      </c>
      <c r="O102" s="1" t="s">
        <v>20</v>
      </c>
    </row>
    <row r="103" spans="1:15" x14ac:dyDescent="0.35">
      <c r="A103" s="1" t="s">
        <v>213</v>
      </c>
      <c r="B103">
        <v>2019</v>
      </c>
      <c r="C103">
        <v>80</v>
      </c>
      <c r="D103">
        <v>1620</v>
      </c>
      <c r="E103">
        <v>319</v>
      </c>
      <c r="F103">
        <v>11</v>
      </c>
      <c r="G103">
        <v>0</v>
      </c>
      <c r="H103">
        <v>4</v>
      </c>
      <c r="I103">
        <v>3.96</v>
      </c>
      <c r="J103">
        <v>80.239999999999995</v>
      </c>
      <c r="K103" s="1" t="s">
        <v>214</v>
      </c>
      <c r="L103">
        <v>1947</v>
      </c>
      <c r="M103">
        <v>72</v>
      </c>
      <c r="N103">
        <v>3.7</v>
      </c>
      <c r="O103" s="1" t="s">
        <v>20</v>
      </c>
    </row>
    <row r="104" spans="1:15" x14ac:dyDescent="0.35">
      <c r="A104" s="1" t="s">
        <v>215</v>
      </c>
      <c r="B104">
        <v>6321</v>
      </c>
      <c r="C104">
        <v>112</v>
      </c>
      <c r="D104">
        <v>4825</v>
      </c>
      <c r="E104">
        <v>1384</v>
      </c>
      <c r="F104">
        <v>49</v>
      </c>
      <c r="G104">
        <v>0</v>
      </c>
      <c r="H104">
        <v>178</v>
      </c>
      <c r="I104">
        <v>1.77</v>
      </c>
      <c r="J104">
        <v>76.33</v>
      </c>
      <c r="K104" s="1" t="s">
        <v>216</v>
      </c>
      <c r="L104">
        <v>5639</v>
      </c>
      <c r="M104">
        <v>682</v>
      </c>
      <c r="N104">
        <v>12.09</v>
      </c>
      <c r="O104" s="1" t="s">
        <v>20</v>
      </c>
    </row>
    <row r="105" spans="1:15" x14ac:dyDescent="0.35">
      <c r="A105" s="1" t="s">
        <v>217</v>
      </c>
      <c r="B105">
        <v>9690</v>
      </c>
      <c r="C105">
        <v>91</v>
      </c>
      <c r="D105">
        <v>6260</v>
      </c>
      <c r="E105">
        <v>3339</v>
      </c>
      <c r="F105">
        <v>395</v>
      </c>
      <c r="G105">
        <v>6</v>
      </c>
      <c r="H105">
        <v>681</v>
      </c>
      <c r="I105">
        <v>0.94</v>
      </c>
      <c r="J105">
        <v>64.599999999999994</v>
      </c>
      <c r="K105" s="1" t="s">
        <v>218</v>
      </c>
      <c r="L105">
        <v>7153</v>
      </c>
      <c r="M105">
        <v>2537</v>
      </c>
      <c r="N105">
        <v>35.47</v>
      </c>
      <c r="O105" s="1" t="s">
        <v>23</v>
      </c>
    </row>
    <row r="106" spans="1:15" x14ac:dyDescent="0.35">
      <c r="A106" s="1" t="s">
        <v>219</v>
      </c>
      <c r="B106">
        <v>3664</v>
      </c>
      <c r="C106">
        <v>99</v>
      </c>
      <c r="D106">
        <v>1645</v>
      </c>
      <c r="E106">
        <v>1920</v>
      </c>
      <c r="F106">
        <v>24</v>
      </c>
      <c r="G106">
        <v>0</v>
      </c>
      <c r="H106">
        <v>6</v>
      </c>
      <c r="I106">
        <v>2.7</v>
      </c>
      <c r="J106">
        <v>44.9</v>
      </c>
      <c r="K106" s="1" t="s">
        <v>220</v>
      </c>
      <c r="L106">
        <v>2992</v>
      </c>
      <c r="M106">
        <v>672</v>
      </c>
      <c r="N106">
        <v>22.46</v>
      </c>
      <c r="O106" s="1" t="s">
        <v>23</v>
      </c>
    </row>
    <row r="107" spans="1:15" x14ac:dyDescent="0.35">
      <c r="A107" s="1" t="s">
        <v>221</v>
      </c>
      <c r="B107">
        <v>8904</v>
      </c>
      <c r="C107">
        <v>124</v>
      </c>
      <c r="D107">
        <v>8601</v>
      </c>
      <c r="E107">
        <v>179</v>
      </c>
      <c r="F107">
        <v>7</v>
      </c>
      <c r="G107">
        <v>0</v>
      </c>
      <c r="H107">
        <v>1</v>
      </c>
      <c r="I107">
        <v>1.39</v>
      </c>
      <c r="J107">
        <v>96.6</v>
      </c>
      <c r="K107" s="1" t="s">
        <v>222</v>
      </c>
      <c r="L107">
        <v>8800</v>
      </c>
      <c r="M107">
        <v>104</v>
      </c>
      <c r="N107">
        <v>1.18</v>
      </c>
      <c r="O107" s="1" t="s">
        <v>37</v>
      </c>
    </row>
    <row r="108" spans="1:15" x14ac:dyDescent="0.35">
      <c r="A108" s="1" t="s">
        <v>223</v>
      </c>
      <c r="B108">
        <v>3369</v>
      </c>
      <c r="C108">
        <v>15</v>
      </c>
      <c r="D108">
        <v>2547</v>
      </c>
      <c r="E108">
        <v>807</v>
      </c>
      <c r="F108">
        <v>67</v>
      </c>
      <c r="G108">
        <v>0</v>
      </c>
      <c r="H108">
        <v>19</v>
      </c>
      <c r="I108">
        <v>0.45</v>
      </c>
      <c r="J108">
        <v>75.599999999999994</v>
      </c>
      <c r="K108" s="1" t="s">
        <v>224</v>
      </c>
      <c r="L108">
        <v>2999</v>
      </c>
      <c r="M108">
        <v>370</v>
      </c>
      <c r="N108">
        <v>12.34</v>
      </c>
      <c r="O108" s="1" t="s">
        <v>48</v>
      </c>
    </row>
    <row r="109" spans="1:15" x14ac:dyDescent="0.35">
      <c r="A109" s="1" t="s">
        <v>225</v>
      </c>
      <c r="B109">
        <v>2513</v>
      </c>
      <c r="C109">
        <v>124</v>
      </c>
      <c r="D109">
        <v>1913</v>
      </c>
      <c r="E109">
        <v>476</v>
      </c>
      <c r="F109">
        <v>3</v>
      </c>
      <c r="G109">
        <v>1</v>
      </c>
      <c r="H109">
        <v>2</v>
      </c>
      <c r="I109">
        <v>4.93</v>
      </c>
      <c r="J109">
        <v>76.12</v>
      </c>
      <c r="K109" s="1" t="s">
        <v>25</v>
      </c>
      <c r="L109">
        <v>2475</v>
      </c>
      <c r="M109">
        <v>38</v>
      </c>
      <c r="N109">
        <v>1.54</v>
      </c>
      <c r="O109" s="1" t="s">
        <v>23</v>
      </c>
    </row>
    <row r="110" spans="1:15" x14ac:dyDescent="0.35">
      <c r="A110" s="1" t="s">
        <v>226</v>
      </c>
      <c r="B110">
        <v>701</v>
      </c>
      <c r="C110">
        <v>9</v>
      </c>
      <c r="D110">
        <v>665</v>
      </c>
      <c r="E110">
        <v>27</v>
      </c>
      <c r="F110">
        <v>1</v>
      </c>
      <c r="G110">
        <v>0</v>
      </c>
      <c r="H110">
        <v>0</v>
      </c>
      <c r="I110">
        <v>1.28</v>
      </c>
      <c r="J110">
        <v>94.86</v>
      </c>
      <c r="K110" s="1" t="s">
        <v>227</v>
      </c>
      <c r="L110">
        <v>677</v>
      </c>
      <c r="M110">
        <v>24</v>
      </c>
      <c r="N110">
        <v>3.55</v>
      </c>
      <c r="O110" s="1" t="s">
        <v>20</v>
      </c>
    </row>
    <row r="111" spans="1:15" x14ac:dyDescent="0.35">
      <c r="A111" s="1" t="s">
        <v>228</v>
      </c>
      <c r="B111">
        <v>6208</v>
      </c>
      <c r="C111">
        <v>156</v>
      </c>
      <c r="D111">
        <v>4653</v>
      </c>
      <c r="E111">
        <v>1399</v>
      </c>
      <c r="F111">
        <v>37</v>
      </c>
      <c r="G111">
        <v>0</v>
      </c>
      <c r="H111">
        <v>223</v>
      </c>
      <c r="I111">
        <v>2.5099999999999998</v>
      </c>
      <c r="J111">
        <v>74.95</v>
      </c>
      <c r="K111" s="1" t="s">
        <v>229</v>
      </c>
      <c r="L111">
        <v>5923</v>
      </c>
      <c r="M111">
        <v>285</v>
      </c>
      <c r="N111">
        <v>4.8099999999999996</v>
      </c>
      <c r="O111" s="1" t="s">
        <v>23</v>
      </c>
    </row>
    <row r="112" spans="1:15" x14ac:dyDescent="0.35">
      <c r="A112" s="1" t="s">
        <v>230</v>
      </c>
      <c r="B112">
        <v>344</v>
      </c>
      <c r="C112">
        <v>10</v>
      </c>
      <c r="D112">
        <v>332</v>
      </c>
      <c r="E112">
        <v>2</v>
      </c>
      <c r="F112">
        <v>0</v>
      </c>
      <c r="G112">
        <v>0</v>
      </c>
      <c r="H112">
        <v>0</v>
      </c>
      <c r="I112">
        <v>2.91</v>
      </c>
      <c r="J112">
        <v>96.51</v>
      </c>
      <c r="K112" s="1" t="s">
        <v>103</v>
      </c>
      <c r="L112">
        <v>343</v>
      </c>
      <c r="M112">
        <v>1</v>
      </c>
      <c r="N112">
        <v>0.28999999999999998</v>
      </c>
      <c r="O112" s="1" t="s">
        <v>23</v>
      </c>
    </row>
    <row r="113" spans="1:15" x14ac:dyDescent="0.35">
      <c r="A113" s="1" t="s">
        <v>231</v>
      </c>
      <c r="B113">
        <v>395489</v>
      </c>
      <c r="C113">
        <v>44022</v>
      </c>
      <c r="D113">
        <v>303810</v>
      </c>
      <c r="E113">
        <v>47657</v>
      </c>
      <c r="F113">
        <v>4973</v>
      </c>
      <c r="G113">
        <v>342</v>
      </c>
      <c r="H113">
        <v>8588</v>
      </c>
      <c r="I113">
        <v>11.13</v>
      </c>
      <c r="J113">
        <v>76.819999999999993</v>
      </c>
      <c r="K113" s="1" t="s">
        <v>232</v>
      </c>
      <c r="L113">
        <v>349396</v>
      </c>
      <c r="M113">
        <v>46093</v>
      </c>
      <c r="N113">
        <v>13.19</v>
      </c>
      <c r="O113" s="1" t="s">
        <v>30</v>
      </c>
    </row>
    <row r="114" spans="1:15" x14ac:dyDescent="0.35">
      <c r="A114" s="1" t="s">
        <v>233</v>
      </c>
      <c r="B114">
        <v>23154</v>
      </c>
      <c r="C114">
        <v>748</v>
      </c>
      <c r="D114">
        <v>16154</v>
      </c>
      <c r="E114">
        <v>6252</v>
      </c>
      <c r="F114">
        <v>120</v>
      </c>
      <c r="G114">
        <v>13</v>
      </c>
      <c r="H114">
        <v>245</v>
      </c>
      <c r="I114">
        <v>3.23</v>
      </c>
      <c r="J114">
        <v>69.77</v>
      </c>
      <c r="K114" s="1" t="s">
        <v>234</v>
      </c>
      <c r="L114">
        <v>21115</v>
      </c>
      <c r="M114">
        <v>2039</v>
      </c>
      <c r="N114">
        <v>9.66</v>
      </c>
      <c r="O114" s="1" t="s">
        <v>20</v>
      </c>
    </row>
    <row r="115" spans="1:15" x14ac:dyDescent="0.35">
      <c r="A115" s="1" t="s">
        <v>235</v>
      </c>
      <c r="B115">
        <v>116</v>
      </c>
      <c r="C115">
        <v>4</v>
      </c>
      <c r="D115">
        <v>104</v>
      </c>
      <c r="E115">
        <v>8</v>
      </c>
      <c r="F115">
        <v>0</v>
      </c>
      <c r="G115">
        <v>0</v>
      </c>
      <c r="H115">
        <v>0</v>
      </c>
      <c r="I115">
        <v>3.45</v>
      </c>
      <c r="J115">
        <v>89.66</v>
      </c>
      <c r="K115" s="1" t="s">
        <v>236</v>
      </c>
      <c r="L115">
        <v>109</v>
      </c>
      <c r="M115">
        <v>7</v>
      </c>
      <c r="N115">
        <v>6.42</v>
      </c>
      <c r="O115" s="1" t="s">
        <v>20</v>
      </c>
    </row>
    <row r="116" spans="1:15" x14ac:dyDescent="0.35">
      <c r="A116" s="1" t="s">
        <v>237</v>
      </c>
      <c r="B116">
        <v>289</v>
      </c>
      <c r="C116">
        <v>0</v>
      </c>
      <c r="D116">
        <v>222</v>
      </c>
      <c r="E116">
        <v>67</v>
      </c>
      <c r="F116">
        <v>1</v>
      </c>
      <c r="G116">
        <v>0</v>
      </c>
      <c r="H116">
        <v>4</v>
      </c>
      <c r="I116">
        <v>0</v>
      </c>
      <c r="J116">
        <v>76.819999999999993</v>
      </c>
      <c r="K116" s="1" t="s">
        <v>60</v>
      </c>
      <c r="L116">
        <v>287</v>
      </c>
      <c r="M116">
        <v>2</v>
      </c>
      <c r="N116">
        <v>0.7</v>
      </c>
      <c r="O116" s="1" t="s">
        <v>37</v>
      </c>
    </row>
    <row r="117" spans="1:15" x14ac:dyDescent="0.35">
      <c r="A117" s="1" t="s">
        <v>238</v>
      </c>
      <c r="B117">
        <v>2893</v>
      </c>
      <c r="C117">
        <v>45</v>
      </c>
      <c r="D117">
        <v>809</v>
      </c>
      <c r="E117">
        <v>2039</v>
      </c>
      <c r="F117">
        <v>94</v>
      </c>
      <c r="G117">
        <v>2</v>
      </c>
      <c r="H117">
        <v>70</v>
      </c>
      <c r="I117">
        <v>1.56</v>
      </c>
      <c r="J117">
        <v>27.96</v>
      </c>
      <c r="K117" s="1" t="s">
        <v>239</v>
      </c>
      <c r="L117">
        <v>2188</v>
      </c>
      <c r="M117">
        <v>705</v>
      </c>
      <c r="N117">
        <v>32.22</v>
      </c>
      <c r="O117" s="1" t="s">
        <v>20</v>
      </c>
    </row>
    <row r="118" spans="1:15" x14ac:dyDescent="0.35">
      <c r="A118" s="1" t="s">
        <v>240</v>
      </c>
      <c r="B118">
        <v>20887</v>
      </c>
      <c r="C118">
        <v>316</v>
      </c>
      <c r="D118">
        <v>16553</v>
      </c>
      <c r="E118">
        <v>4018</v>
      </c>
      <c r="F118">
        <v>609</v>
      </c>
      <c r="G118">
        <v>3</v>
      </c>
      <c r="H118">
        <v>115</v>
      </c>
      <c r="I118">
        <v>1.51</v>
      </c>
      <c r="J118">
        <v>79.25</v>
      </c>
      <c r="K118" s="1" t="s">
        <v>241</v>
      </c>
      <c r="L118">
        <v>17562</v>
      </c>
      <c r="M118">
        <v>3325</v>
      </c>
      <c r="N118">
        <v>18.93</v>
      </c>
      <c r="O118" s="1" t="s">
        <v>17</v>
      </c>
    </row>
    <row r="119" spans="1:15" x14ac:dyDescent="0.35">
      <c r="A119" s="1" t="s">
        <v>242</v>
      </c>
      <c r="B119">
        <v>1701</v>
      </c>
      <c r="C119">
        <v>11</v>
      </c>
      <c r="D119">
        <v>0</v>
      </c>
      <c r="E119">
        <v>1690</v>
      </c>
      <c r="F119">
        <v>32</v>
      </c>
      <c r="G119">
        <v>0</v>
      </c>
      <c r="H119">
        <v>0</v>
      </c>
      <c r="I119">
        <v>0.65</v>
      </c>
      <c r="J119">
        <v>0</v>
      </c>
      <c r="K119" s="1" t="s">
        <v>85</v>
      </c>
      <c r="L119">
        <v>1507</v>
      </c>
      <c r="M119">
        <v>194</v>
      </c>
      <c r="N119">
        <v>12.87</v>
      </c>
      <c r="O119" s="1" t="s">
        <v>23</v>
      </c>
    </row>
    <row r="120" spans="1:15" x14ac:dyDescent="0.35">
      <c r="A120" s="1" t="s">
        <v>243</v>
      </c>
      <c r="B120">
        <v>1843</v>
      </c>
      <c r="C120">
        <v>8</v>
      </c>
      <c r="D120">
        <v>101</v>
      </c>
      <c r="E120">
        <v>1734</v>
      </c>
      <c r="F120">
        <v>68</v>
      </c>
      <c r="G120">
        <v>0</v>
      </c>
      <c r="H120">
        <v>26</v>
      </c>
      <c r="I120">
        <v>0.43</v>
      </c>
      <c r="J120">
        <v>5.48</v>
      </c>
      <c r="K120" s="1" t="s">
        <v>244</v>
      </c>
      <c r="L120">
        <v>1344</v>
      </c>
      <c r="M120">
        <v>499</v>
      </c>
      <c r="N120">
        <v>37.130000000000003</v>
      </c>
      <c r="O120" s="1" t="s">
        <v>23</v>
      </c>
    </row>
    <row r="121" spans="1:15" x14ac:dyDescent="0.35">
      <c r="A121" s="1" t="s">
        <v>245</v>
      </c>
      <c r="B121">
        <v>18752</v>
      </c>
      <c r="C121">
        <v>48</v>
      </c>
      <c r="D121">
        <v>13754</v>
      </c>
      <c r="E121">
        <v>4950</v>
      </c>
      <c r="F121">
        <v>139</v>
      </c>
      <c r="G121">
        <v>3</v>
      </c>
      <c r="H121">
        <v>626</v>
      </c>
      <c r="I121">
        <v>0.26</v>
      </c>
      <c r="J121">
        <v>73.349999999999994</v>
      </c>
      <c r="K121" s="1" t="s">
        <v>246</v>
      </c>
      <c r="L121">
        <v>17844</v>
      </c>
      <c r="M121">
        <v>908</v>
      </c>
      <c r="N121">
        <v>5.09</v>
      </c>
      <c r="O121" s="1" t="s">
        <v>48</v>
      </c>
    </row>
    <row r="122" spans="1:15" x14ac:dyDescent="0.35">
      <c r="A122" s="1" t="s">
        <v>247</v>
      </c>
      <c r="B122">
        <v>53413</v>
      </c>
      <c r="C122">
        <v>6160</v>
      </c>
      <c r="D122">
        <v>189</v>
      </c>
      <c r="E122">
        <v>47064</v>
      </c>
      <c r="F122">
        <v>419</v>
      </c>
      <c r="G122">
        <v>1</v>
      </c>
      <c r="H122">
        <v>0</v>
      </c>
      <c r="I122">
        <v>11.53</v>
      </c>
      <c r="J122">
        <v>0.35</v>
      </c>
      <c r="K122" s="1" t="s">
        <v>248</v>
      </c>
      <c r="L122">
        <v>52132</v>
      </c>
      <c r="M122">
        <v>1281</v>
      </c>
      <c r="N122">
        <v>2.46</v>
      </c>
      <c r="O122" s="1" t="s">
        <v>20</v>
      </c>
    </row>
    <row r="123" spans="1:15" x14ac:dyDescent="0.35">
      <c r="A123" s="1" t="s">
        <v>249</v>
      </c>
      <c r="B123">
        <v>1557</v>
      </c>
      <c r="C123">
        <v>22</v>
      </c>
      <c r="D123">
        <v>1514</v>
      </c>
      <c r="E123">
        <v>21</v>
      </c>
      <c r="F123">
        <v>1</v>
      </c>
      <c r="G123">
        <v>0</v>
      </c>
      <c r="H123">
        <v>1</v>
      </c>
      <c r="I123">
        <v>1.41</v>
      </c>
      <c r="J123">
        <v>97.24</v>
      </c>
      <c r="K123" s="1" t="s">
        <v>218</v>
      </c>
      <c r="L123">
        <v>1555</v>
      </c>
      <c r="M123">
        <v>2</v>
      </c>
      <c r="N123">
        <v>0.13</v>
      </c>
      <c r="O123" s="1" t="s">
        <v>37</v>
      </c>
    </row>
    <row r="124" spans="1:15" x14ac:dyDescent="0.35">
      <c r="A124" s="1" t="s">
        <v>250</v>
      </c>
      <c r="B124">
        <v>3439</v>
      </c>
      <c r="C124">
        <v>108</v>
      </c>
      <c r="D124">
        <v>2492</v>
      </c>
      <c r="E124">
        <v>839</v>
      </c>
      <c r="F124">
        <v>0</v>
      </c>
      <c r="G124">
        <v>0</v>
      </c>
      <c r="H124">
        <v>0</v>
      </c>
      <c r="I124">
        <v>3.14</v>
      </c>
      <c r="J124">
        <v>72.459999999999994</v>
      </c>
      <c r="K124" s="1" t="s">
        <v>251</v>
      </c>
      <c r="L124">
        <v>3147</v>
      </c>
      <c r="M124">
        <v>292</v>
      </c>
      <c r="N124">
        <v>9.2799999999999994</v>
      </c>
      <c r="O124" s="1" t="s">
        <v>30</v>
      </c>
    </row>
    <row r="125" spans="1:15" x14ac:dyDescent="0.35">
      <c r="A125" s="1" t="s">
        <v>252</v>
      </c>
      <c r="B125">
        <v>1132</v>
      </c>
      <c r="C125">
        <v>69</v>
      </c>
      <c r="D125">
        <v>1027</v>
      </c>
      <c r="E125">
        <v>36</v>
      </c>
      <c r="F125">
        <v>0</v>
      </c>
      <c r="G125">
        <v>0</v>
      </c>
      <c r="H125">
        <v>0</v>
      </c>
      <c r="I125">
        <v>6.1</v>
      </c>
      <c r="J125">
        <v>90.72</v>
      </c>
      <c r="K125" s="1" t="s">
        <v>253</v>
      </c>
      <c r="L125">
        <v>1105</v>
      </c>
      <c r="M125">
        <v>27</v>
      </c>
      <c r="N125">
        <v>2.44</v>
      </c>
      <c r="O125" s="1" t="s">
        <v>23</v>
      </c>
    </row>
    <row r="126" spans="1:15" x14ac:dyDescent="0.35">
      <c r="A126" s="1" t="s">
        <v>254</v>
      </c>
      <c r="B126">
        <v>41180</v>
      </c>
      <c r="C126">
        <v>860</v>
      </c>
      <c r="D126">
        <v>18203</v>
      </c>
      <c r="E126">
        <v>22117</v>
      </c>
      <c r="F126">
        <v>648</v>
      </c>
      <c r="G126">
        <v>2</v>
      </c>
      <c r="H126">
        <v>829</v>
      </c>
      <c r="I126">
        <v>2.09</v>
      </c>
      <c r="J126">
        <v>44.2</v>
      </c>
      <c r="K126" s="1" t="s">
        <v>255</v>
      </c>
      <c r="L126">
        <v>37225</v>
      </c>
      <c r="M126">
        <v>3955</v>
      </c>
      <c r="N126">
        <v>10.62</v>
      </c>
      <c r="O126" s="1" t="s">
        <v>23</v>
      </c>
    </row>
    <row r="127" spans="1:15" x14ac:dyDescent="0.35">
      <c r="A127" s="1" t="s">
        <v>256</v>
      </c>
      <c r="B127">
        <v>10213</v>
      </c>
      <c r="C127">
        <v>466</v>
      </c>
      <c r="D127">
        <v>5564</v>
      </c>
      <c r="E127">
        <v>4183</v>
      </c>
      <c r="F127">
        <v>127</v>
      </c>
      <c r="G127">
        <v>6</v>
      </c>
      <c r="H127">
        <v>137</v>
      </c>
      <c r="I127">
        <v>4.5599999999999996</v>
      </c>
      <c r="J127">
        <v>54.48</v>
      </c>
      <c r="K127" s="1" t="s">
        <v>257</v>
      </c>
      <c r="L127">
        <v>9249</v>
      </c>
      <c r="M127">
        <v>964</v>
      </c>
      <c r="N127">
        <v>10.42</v>
      </c>
      <c r="O127" s="1" t="s">
        <v>20</v>
      </c>
    </row>
    <row r="128" spans="1:15" x14ac:dyDescent="0.35">
      <c r="A128" s="1" t="s">
        <v>258</v>
      </c>
      <c r="B128">
        <v>9132</v>
      </c>
      <c r="C128">
        <v>255</v>
      </c>
      <c r="D128">
        <v>8752</v>
      </c>
      <c r="E128">
        <v>125</v>
      </c>
      <c r="F128">
        <v>15</v>
      </c>
      <c r="G128">
        <v>0</v>
      </c>
      <c r="H128">
        <v>0</v>
      </c>
      <c r="I128">
        <v>2.79</v>
      </c>
      <c r="J128">
        <v>95.84</v>
      </c>
      <c r="K128" s="1" t="s">
        <v>259</v>
      </c>
      <c r="L128">
        <v>9034</v>
      </c>
      <c r="M128">
        <v>98</v>
      </c>
      <c r="N128">
        <v>1.08</v>
      </c>
      <c r="O128" s="1" t="s">
        <v>20</v>
      </c>
    </row>
    <row r="129" spans="1:15" x14ac:dyDescent="0.35">
      <c r="A129" s="1" t="s">
        <v>260</v>
      </c>
      <c r="B129">
        <v>77058</v>
      </c>
      <c r="C129">
        <v>393</v>
      </c>
      <c r="D129">
        <v>57028</v>
      </c>
      <c r="E129">
        <v>19637</v>
      </c>
      <c r="F129">
        <v>1053</v>
      </c>
      <c r="G129">
        <v>9</v>
      </c>
      <c r="H129">
        <v>1729</v>
      </c>
      <c r="I129">
        <v>0.51</v>
      </c>
      <c r="J129">
        <v>74.010000000000005</v>
      </c>
      <c r="K129" s="1" t="s">
        <v>261</v>
      </c>
      <c r="L129">
        <v>68400</v>
      </c>
      <c r="M129">
        <v>8658</v>
      </c>
      <c r="N129">
        <v>12.66</v>
      </c>
      <c r="O129" s="1" t="s">
        <v>17</v>
      </c>
    </row>
    <row r="130" spans="1:15" x14ac:dyDescent="0.35">
      <c r="A130" s="1" t="s">
        <v>262</v>
      </c>
      <c r="B130">
        <v>274289</v>
      </c>
      <c r="C130">
        <v>5842</v>
      </c>
      <c r="D130">
        <v>241026</v>
      </c>
      <c r="E130">
        <v>27421</v>
      </c>
      <c r="F130">
        <v>1176</v>
      </c>
      <c r="G130">
        <v>20</v>
      </c>
      <c r="H130">
        <v>3592</v>
      </c>
      <c r="I130">
        <v>2.13</v>
      </c>
      <c r="J130">
        <v>87.87</v>
      </c>
      <c r="K130" s="1" t="s">
        <v>263</v>
      </c>
      <c r="L130">
        <v>266096</v>
      </c>
      <c r="M130">
        <v>8193</v>
      </c>
      <c r="N130">
        <v>3.08</v>
      </c>
      <c r="O130" s="1" t="s">
        <v>17</v>
      </c>
    </row>
    <row r="131" spans="1:15" x14ac:dyDescent="0.35">
      <c r="A131" s="1" t="s">
        <v>264</v>
      </c>
      <c r="B131">
        <v>61442</v>
      </c>
      <c r="C131">
        <v>1322</v>
      </c>
      <c r="D131">
        <v>35086</v>
      </c>
      <c r="E131">
        <v>25034</v>
      </c>
      <c r="F131">
        <v>1146</v>
      </c>
      <c r="G131">
        <v>28</v>
      </c>
      <c r="H131">
        <v>955</v>
      </c>
      <c r="I131">
        <v>2.15</v>
      </c>
      <c r="J131">
        <v>57.1</v>
      </c>
      <c r="K131" s="1" t="s">
        <v>265</v>
      </c>
      <c r="L131">
        <v>54426</v>
      </c>
      <c r="M131">
        <v>7016</v>
      </c>
      <c r="N131">
        <v>12.89</v>
      </c>
      <c r="O131" s="1" t="s">
        <v>30</v>
      </c>
    </row>
    <row r="132" spans="1:15" x14ac:dyDescent="0.35">
      <c r="A132" s="1" t="s">
        <v>266</v>
      </c>
      <c r="B132">
        <v>62</v>
      </c>
      <c r="C132">
        <v>0</v>
      </c>
      <c r="D132">
        <v>11</v>
      </c>
      <c r="E132">
        <v>51</v>
      </c>
      <c r="F132">
        <v>0</v>
      </c>
      <c r="G132">
        <v>0</v>
      </c>
      <c r="H132">
        <v>0</v>
      </c>
      <c r="I132">
        <v>0</v>
      </c>
      <c r="J132">
        <v>17.739999999999998</v>
      </c>
      <c r="K132" s="1" t="s">
        <v>60</v>
      </c>
      <c r="L132">
        <v>19</v>
      </c>
      <c r="M132">
        <v>43</v>
      </c>
      <c r="N132">
        <v>226.32</v>
      </c>
      <c r="O132" s="1" t="s">
        <v>37</v>
      </c>
    </row>
    <row r="133" spans="1:15" x14ac:dyDescent="0.35">
      <c r="A133" s="1" t="s">
        <v>267</v>
      </c>
      <c r="B133">
        <v>4548</v>
      </c>
      <c r="C133">
        <v>43</v>
      </c>
      <c r="D133">
        <v>2905</v>
      </c>
      <c r="E133">
        <v>1600</v>
      </c>
      <c r="F133">
        <v>104</v>
      </c>
      <c r="G133">
        <v>2</v>
      </c>
      <c r="H133">
        <v>111</v>
      </c>
      <c r="I133">
        <v>0.95</v>
      </c>
      <c r="J133">
        <v>63.87</v>
      </c>
      <c r="K133" s="1" t="s">
        <v>268</v>
      </c>
      <c r="L133">
        <v>3748</v>
      </c>
      <c r="M133">
        <v>800</v>
      </c>
      <c r="N133">
        <v>21.34</v>
      </c>
      <c r="O133" s="1" t="s">
        <v>30</v>
      </c>
    </row>
    <row r="134" spans="1:15" x14ac:dyDescent="0.35">
      <c r="A134" s="1" t="s">
        <v>269</v>
      </c>
      <c r="B134">
        <v>389717</v>
      </c>
      <c r="C134">
        <v>18418</v>
      </c>
      <c r="D134">
        <v>272547</v>
      </c>
      <c r="E134">
        <v>98752</v>
      </c>
      <c r="F134">
        <v>13756</v>
      </c>
      <c r="G134">
        <v>575</v>
      </c>
      <c r="H134">
        <v>4697</v>
      </c>
      <c r="I134">
        <v>4.7300000000000004</v>
      </c>
      <c r="J134">
        <v>69.930000000000007</v>
      </c>
      <c r="K134" s="1" t="s">
        <v>270</v>
      </c>
      <c r="L134">
        <v>357681</v>
      </c>
      <c r="M134">
        <v>32036</v>
      </c>
      <c r="N134">
        <v>8.9600000000000009</v>
      </c>
      <c r="O134" s="1" t="s">
        <v>30</v>
      </c>
    </row>
    <row r="135" spans="1:15" x14ac:dyDescent="0.35">
      <c r="A135" s="1" t="s">
        <v>271</v>
      </c>
      <c r="B135">
        <v>82040</v>
      </c>
      <c r="C135">
        <v>1945</v>
      </c>
      <c r="D135">
        <v>26446</v>
      </c>
      <c r="E135">
        <v>53649</v>
      </c>
      <c r="F135">
        <v>1592</v>
      </c>
      <c r="G135">
        <v>13</v>
      </c>
      <c r="H135">
        <v>336</v>
      </c>
      <c r="I135">
        <v>2.37</v>
      </c>
      <c r="J135">
        <v>32.24</v>
      </c>
      <c r="K135" s="1" t="s">
        <v>272</v>
      </c>
      <c r="L135">
        <v>68898</v>
      </c>
      <c r="M135">
        <v>13142</v>
      </c>
      <c r="N135">
        <v>19.07</v>
      </c>
      <c r="O135" s="1" t="s">
        <v>37</v>
      </c>
    </row>
    <row r="136" spans="1:15" x14ac:dyDescent="0.35">
      <c r="A136" s="1" t="s">
        <v>273</v>
      </c>
      <c r="B136">
        <v>43402</v>
      </c>
      <c r="C136">
        <v>1676</v>
      </c>
      <c r="D136">
        <v>32856</v>
      </c>
      <c r="E136">
        <v>8870</v>
      </c>
      <c r="F136">
        <v>337</v>
      </c>
      <c r="G136">
        <v>5</v>
      </c>
      <c r="H136">
        <v>103</v>
      </c>
      <c r="I136">
        <v>3.86</v>
      </c>
      <c r="J136">
        <v>75.7</v>
      </c>
      <c r="K136" s="1" t="s">
        <v>274</v>
      </c>
      <c r="L136">
        <v>40383</v>
      </c>
      <c r="M136">
        <v>3019</v>
      </c>
      <c r="N136">
        <v>7.48</v>
      </c>
      <c r="O136" s="1" t="s">
        <v>20</v>
      </c>
    </row>
    <row r="137" spans="1:15" x14ac:dyDescent="0.35">
      <c r="A137" s="1" t="s">
        <v>275</v>
      </c>
      <c r="B137">
        <v>50299</v>
      </c>
      <c r="C137">
        <v>1719</v>
      </c>
      <c r="D137">
        <v>35375</v>
      </c>
      <c r="E137">
        <v>13205</v>
      </c>
      <c r="F137">
        <v>135</v>
      </c>
      <c r="G137">
        <v>2</v>
      </c>
      <c r="H137">
        <v>158</v>
      </c>
      <c r="I137">
        <v>3.42</v>
      </c>
      <c r="J137">
        <v>70.33</v>
      </c>
      <c r="K137" s="1" t="s">
        <v>115</v>
      </c>
      <c r="L137">
        <v>48771</v>
      </c>
      <c r="M137">
        <v>1528</v>
      </c>
      <c r="N137">
        <v>3.13</v>
      </c>
      <c r="O137" s="1" t="s">
        <v>20</v>
      </c>
    </row>
    <row r="138" spans="1:15" x14ac:dyDescent="0.35">
      <c r="A138" s="1" t="s">
        <v>276</v>
      </c>
      <c r="B138">
        <v>109597</v>
      </c>
      <c r="C138">
        <v>165</v>
      </c>
      <c r="D138">
        <v>106328</v>
      </c>
      <c r="E138">
        <v>3104</v>
      </c>
      <c r="F138">
        <v>292</v>
      </c>
      <c r="G138">
        <v>0</v>
      </c>
      <c r="H138">
        <v>304</v>
      </c>
      <c r="I138">
        <v>0.15</v>
      </c>
      <c r="J138">
        <v>97.02</v>
      </c>
      <c r="K138" s="1" t="s">
        <v>277</v>
      </c>
      <c r="L138">
        <v>107037</v>
      </c>
      <c r="M138">
        <v>2560</v>
      </c>
      <c r="N138">
        <v>2.39</v>
      </c>
      <c r="O138" s="1" t="s">
        <v>17</v>
      </c>
    </row>
    <row r="139" spans="1:15" x14ac:dyDescent="0.35">
      <c r="A139" s="1" t="s">
        <v>278</v>
      </c>
      <c r="B139">
        <v>45902</v>
      </c>
      <c r="C139">
        <v>2206</v>
      </c>
      <c r="D139">
        <v>25794</v>
      </c>
      <c r="E139">
        <v>17902</v>
      </c>
      <c r="F139">
        <v>1104</v>
      </c>
      <c r="G139">
        <v>19</v>
      </c>
      <c r="H139">
        <v>151</v>
      </c>
      <c r="I139">
        <v>4.8099999999999996</v>
      </c>
      <c r="J139">
        <v>56.19</v>
      </c>
      <c r="K139" s="1" t="s">
        <v>279</v>
      </c>
      <c r="L139">
        <v>38139</v>
      </c>
      <c r="M139">
        <v>7763</v>
      </c>
      <c r="N139">
        <v>20.350000000000001</v>
      </c>
      <c r="O139" s="1" t="s">
        <v>20</v>
      </c>
    </row>
    <row r="140" spans="1:15" x14ac:dyDescent="0.35">
      <c r="A140" s="1" t="s">
        <v>280</v>
      </c>
      <c r="B140">
        <v>816680</v>
      </c>
      <c r="C140">
        <v>13334</v>
      </c>
      <c r="D140">
        <v>602249</v>
      </c>
      <c r="E140">
        <v>201097</v>
      </c>
      <c r="F140">
        <v>5607</v>
      </c>
      <c r="G140">
        <v>85</v>
      </c>
      <c r="H140">
        <v>3077</v>
      </c>
      <c r="I140">
        <v>1.63</v>
      </c>
      <c r="J140">
        <v>73.739999999999995</v>
      </c>
      <c r="K140" s="1" t="s">
        <v>281</v>
      </c>
      <c r="L140">
        <v>776212</v>
      </c>
      <c r="M140">
        <v>40468</v>
      </c>
      <c r="N140">
        <v>5.21</v>
      </c>
      <c r="O140" s="1" t="s">
        <v>20</v>
      </c>
    </row>
    <row r="141" spans="1:15" x14ac:dyDescent="0.35">
      <c r="A141" s="1" t="s">
        <v>282</v>
      </c>
      <c r="B141">
        <v>1879</v>
      </c>
      <c r="C141">
        <v>5</v>
      </c>
      <c r="D141">
        <v>975</v>
      </c>
      <c r="E141">
        <v>899</v>
      </c>
      <c r="F141">
        <v>58</v>
      </c>
      <c r="G141">
        <v>0</v>
      </c>
      <c r="H141">
        <v>57</v>
      </c>
      <c r="I141">
        <v>0.27</v>
      </c>
      <c r="J141">
        <v>51.89</v>
      </c>
      <c r="K141" s="1" t="s">
        <v>283</v>
      </c>
      <c r="L141">
        <v>1629</v>
      </c>
      <c r="M141">
        <v>250</v>
      </c>
      <c r="N141">
        <v>15.35</v>
      </c>
      <c r="O141" s="1" t="s">
        <v>23</v>
      </c>
    </row>
    <row r="142" spans="1:15" x14ac:dyDescent="0.35">
      <c r="A142" s="1" t="s">
        <v>284</v>
      </c>
      <c r="B142">
        <v>17</v>
      </c>
      <c r="C142">
        <v>0</v>
      </c>
      <c r="D142">
        <v>15</v>
      </c>
      <c r="E142">
        <v>2</v>
      </c>
      <c r="F142">
        <v>0</v>
      </c>
      <c r="G142">
        <v>0</v>
      </c>
      <c r="H142">
        <v>0</v>
      </c>
      <c r="I142">
        <v>0</v>
      </c>
      <c r="J142">
        <v>88.24</v>
      </c>
      <c r="K142" s="1" t="s">
        <v>60</v>
      </c>
      <c r="L142">
        <v>17</v>
      </c>
      <c r="M142">
        <v>0</v>
      </c>
      <c r="N142">
        <v>0</v>
      </c>
      <c r="O142" s="1" t="s">
        <v>30</v>
      </c>
    </row>
    <row r="143" spans="1:15" x14ac:dyDescent="0.35">
      <c r="A143" s="1" t="s">
        <v>285</v>
      </c>
      <c r="B143">
        <v>24</v>
      </c>
      <c r="C143">
        <v>0</v>
      </c>
      <c r="D143">
        <v>22</v>
      </c>
      <c r="E143">
        <v>2</v>
      </c>
      <c r="F143">
        <v>0</v>
      </c>
      <c r="G143">
        <v>0</v>
      </c>
      <c r="H143">
        <v>0</v>
      </c>
      <c r="I143">
        <v>0</v>
      </c>
      <c r="J143">
        <v>91.67</v>
      </c>
      <c r="K143" s="1" t="s">
        <v>60</v>
      </c>
      <c r="L143">
        <v>23</v>
      </c>
      <c r="M143">
        <v>1</v>
      </c>
      <c r="N143">
        <v>4.3499999999999996</v>
      </c>
      <c r="O143" s="1" t="s">
        <v>30</v>
      </c>
    </row>
    <row r="144" spans="1:15" x14ac:dyDescent="0.35">
      <c r="A144" s="1" t="s">
        <v>286</v>
      </c>
      <c r="B144">
        <v>52</v>
      </c>
      <c r="C144">
        <v>0</v>
      </c>
      <c r="D144">
        <v>39</v>
      </c>
      <c r="E144">
        <v>13</v>
      </c>
      <c r="F144">
        <v>0</v>
      </c>
      <c r="G144">
        <v>0</v>
      </c>
      <c r="H144">
        <v>0</v>
      </c>
      <c r="I144">
        <v>0</v>
      </c>
      <c r="J144">
        <v>75</v>
      </c>
      <c r="K144" s="1" t="s">
        <v>60</v>
      </c>
      <c r="L144">
        <v>50</v>
      </c>
      <c r="M144">
        <v>2</v>
      </c>
      <c r="N144">
        <v>4</v>
      </c>
      <c r="O144" s="1" t="s">
        <v>30</v>
      </c>
    </row>
    <row r="145" spans="1:15" x14ac:dyDescent="0.35">
      <c r="A145" s="1" t="s">
        <v>287</v>
      </c>
      <c r="B145">
        <v>699</v>
      </c>
      <c r="C145">
        <v>42</v>
      </c>
      <c r="D145">
        <v>657</v>
      </c>
      <c r="E145">
        <v>0</v>
      </c>
      <c r="F145">
        <v>0</v>
      </c>
      <c r="G145">
        <v>0</v>
      </c>
      <c r="H145">
        <v>0</v>
      </c>
      <c r="I145">
        <v>6.01</v>
      </c>
      <c r="J145">
        <v>93.99</v>
      </c>
      <c r="K145" s="1" t="s">
        <v>288</v>
      </c>
      <c r="L145">
        <v>699</v>
      </c>
      <c r="M145">
        <v>0</v>
      </c>
      <c r="N145">
        <v>0</v>
      </c>
      <c r="O145" s="1" t="s">
        <v>20</v>
      </c>
    </row>
    <row r="146" spans="1:15" x14ac:dyDescent="0.35">
      <c r="A146" s="1" t="s">
        <v>289</v>
      </c>
      <c r="B146">
        <v>865</v>
      </c>
      <c r="C146">
        <v>14</v>
      </c>
      <c r="D146">
        <v>734</v>
      </c>
      <c r="E146">
        <v>117</v>
      </c>
      <c r="F146">
        <v>2</v>
      </c>
      <c r="G146">
        <v>0</v>
      </c>
      <c r="H146">
        <v>38</v>
      </c>
      <c r="I146">
        <v>1.62</v>
      </c>
      <c r="J146">
        <v>84.86</v>
      </c>
      <c r="K146" s="1" t="s">
        <v>241</v>
      </c>
      <c r="L146">
        <v>746</v>
      </c>
      <c r="M146">
        <v>119</v>
      </c>
      <c r="N146">
        <v>15.95</v>
      </c>
      <c r="O146" s="1" t="s">
        <v>23</v>
      </c>
    </row>
    <row r="147" spans="1:15" x14ac:dyDescent="0.35">
      <c r="A147" s="1" t="s">
        <v>290</v>
      </c>
      <c r="B147">
        <v>268934</v>
      </c>
      <c r="C147">
        <v>2760</v>
      </c>
      <c r="D147">
        <v>222936</v>
      </c>
      <c r="E147">
        <v>43238</v>
      </c>
      <c r="F147">
        <v>1993</v>
      </c>
      <c r="G147">
        <v>27</v>
      </c>
      <c r="H147">
        <v>2613</v>
      </c>
      <c r="I147">
        <v>1.03</v>
      </c>
      <c r="J147">
        <v>82.9</v>
      </c>
      <c r="K147" s="1" t="s">
        <v>291</v>
      </c>
      <c r="L147">
        <v>253349</v>
      </c>
      <c r="M147">
        <v>15585</v>
      </c>
      <c r="N147">
        <v>6.15</v>
      </c>
      <c r="O147" s="1" t="s">
        <v>17</v>
      </c>
    </row>
    <row r="148" spans="1:15" x14ac:dyDescent="0.35">
      <c r="A148" s="1" t="s">
        <v>292</v>
      </c>
      <c r="B148">
        <v>9764</v>
      </c>
      <c r="C148">
        <v>194</v>
      </c>
      <c r="D148">
        <v>6477</v>
      </c>
      <c r="E148">
        <v>3093</v>
      </c>
      <c r="F148">
        <v>83</v>
      </c>
      <c r="G148">
        <v>3</v>
      </c>
      <c r="H148">
        <v>68</v>
      </c>
      <c r="I148">
        <v>1.99</v>
      </c>
      <c r="J148">
        <v>66.34</v>
      </c>
      <c r="K148" s="1" t="s">
        <v>293</v>
      </c>
      <c r="L148">
        <v>8948</v>
      </c>
      <c r="M148">
        <v>816</v>
      </c>
      <c r="N148">
        <v>9.1199999999999992</v>
      </c>
      <c r="O148" s="1" t="s">
        <v>23</v>
      </c>
    </row>
    <row r="149" spans="1:15" x14ac:dyDescent="0.35">
      <c r="A149" s="1" t="s">
        <v>294</v>
      </c>
      <c r="B149">
        <v>24141</v>
      </c>
      <c r="C149">
        <v>543</v>
      </c>
      <c r="D149">
        <v>0</v>
      </c>
      <c r="E149">
        <v>23598</v>
      </c>
      <c r="F149">
        <v>411</v>
      </c>
      <c r="G149">
        <v>9</v>
      </c>
      <c r="H149">
        <v>0</v>
      </c>
      <c r="I149">
        <v>2.25</v>
      </c>
      <c r="J149">
        <v>0</v>
      </c>
      <c r="K149" s="1" t="s">
        <v>85</v>
      </c>
      <c r="L149">
        <v>21253</v>
      </c>
      <c r="M149">
        <v>2888</v>
      </c>
      <c r="N149">
        <v>13.59</v>
      </c>
      <c r="O149" s="1" t="s">
        <v>20</v>
      </c>
    </row>
    <row r="150" spans="1:15" x14ac:dyDescent="0.35">
      <c r="A150" s="1" t="s">
        <v>295</v>
      </c>
      <c r="B150">
        <v>114</v>
      </c>
      <c r="C150">
        <v>0</v>
      </c>
      <c r="D150">
        <v>39</v>
      </c>
      <c r="E150">
        <v>75</v>
      </c>
      <c r="F150">
        <v>0</v>
      </c>
      <c r="G150">
        <v>0</v>
      </c>
      <c r="H150">
        <v>0</v>
      </c>
      <c r="I150">
        <v>0</v>
      </c>
      <c r="J150">
        <v>34.21</v>
      </c>
      <c r="K150" s="1" t="s">
        <v>60</v>
      </c>
      <c r="L150">
        <v>108</v>
      </c>
      <c r="M150">
        <v>6</v>
      </c>
      <c r="N150">
        <v>5.56</v>
      </c>
      <c r="O150" s="1" t="s">
        <v>23</v>
      </c>
    </row>
    <row r="151" spans="1:15" x14ac:dyDescent="0.35">
      <c r="A151" s="1" t="s">
        <v>296</v>
      </c>
      <c r="B151">
        <v>1783</v>
      </c>
      <c r="C151">
        <v>66</v>
      </c>
      <c r="D151">
        <v>1317</v>
      </c>
      <c r="E151">
        <v>400</v>
      </c>
      <c r="F151">
        <v>0</v>
      </c>
      <c r="G151">
        <v>0</v>
      </c>
      <c r="H151">
        <v>4</v>
      </c>
      <c r="I151">
        <v>3.7</v>
      </c>
      <c r="J151">
        <v>73.86</v>
      </c>
      <c r="K151" s="1" t="s">
        <v>297</v>
      </c>
      <c r="L151">
        <v>1711</v>
      </c>
      <c r="M151">
        <v>72</v>
      </c>
      <c r="N151">
        <v>4.21</v>
      </c>
      <c r="O151" s="1" t="s">
        <v>23</v>
      </c>
    </row>
    <row r="152" spans="1:15" x14ac:dyDescent="0.35">
      <c r="A152" s="1" t="s">
        <v>298</v>
      </c>
      <c r="B152">
        <v>50838</v>
      </c>
      <c r="C152">
        <v>27</v>
      </c>
      <c r="D152">
        <v>45692</v>
      </c>
      <c r="E152">
        <v>5119</v>
      </c>
      <c r="F152">
        <v>469</v>
      </c>
      <c r="G152">
        <v>0</v>
      </c>
      <c r="H152">
        <v>171</v>
      </c>
      <c r="I152">
        <v>0.05</v>
      </c>
      <c r="J152">
        <v>89.88</v>
      </c>
      <c r="K152" s="1" t="s">
        <v>299</v>
      </c>
      <c r="L152">
        <v>48035</v>
      </c>
      <c r="M152">
        <v>2803</v>
      </c>
      <c r="N152">
        <v>5.84</v>
      </c>
      <c r="O152" s="1" t="s">
        <v>37</v>
      </c>
    </row>
    <row r="153" spans="1:15" x14ac:dyDescent="0.35">
      <c r="A153" s="1" t="s">
        <v>300</v>
      </c>
      <c r="B153">
        <v>2181</v>
      </c>
      <c r="C153">
        <v>28</v>
      </c>
      <c r="D153">
        <v>1616</v>
      </c>
      <c r="E153">
        <v>537</v>
      </c>
      <c r="F153">
        <v>2</v>
      </c>
      <c r="G153">
        <v>0</v>
      </c>
      <c r="H153">
        <v>39</v>
      </c>
      <c r="I153">
        <v>1.28</v>
      </c>
      <c r="J153">
        <v>74.09</v>
      </c>
      <c r="K153" s="1" t="s">
        <v>301</v>
      </c>
      <c r="L153">
        <v>1980</v>
      </c>
      <c r="M153">
        <v>201</v>
      </c>
      <c r="N153">
        <v>10.15</v>
      </c>
      <c r="O153" s="1" t="s">
        <v>20</v>
      </c>
    </row>
    <row r="154" spans="1:15" x14ac:dyDescent="0.35">
      <c r="A154" s="1" t="s">
        <v>302</v>
      </c>
      <c r="B154">
        <v>2087</v>
      </c>
      <c r="C154">
        <v>116</v>
      </c>
      <c r="D154">
        <v>1733</v>
      </c>
      <c r="E154">
        <v>238</v>
      </c>
      <c r="F154">
        <v>5</v>
      </c>
      <c r="G154">
        <v>0</v>
      </c>
      <c r="H154">
        <v>55</v>
      </c>
      <c r="I154">
        <v>5.56</v>
      </c>
      <c r="J154">
        <v>83.04</v>
      </c>
      <c r="K154" s="1" t="s">
        <v>95</v>
      </c>
      <c r="L154">
        <v>1953</v>
      </c>
      <c r="M154">
        <v>134</v>
      </c>
      <c r="N154">
        <v>6.86</v>
      </c>
      <c r="O154" s="1" t="s">
        <v>20</v>
      </c>
    </row>
    <row r="155" spans="1:15" x14ac:dyDescent="0.35">
      <c r="A155" s="1" t="s">
        <v>303</v>
      </c>
      <c r="B155">
        <v>3196</v>
      </c>
      <c r="C155">
        <v>93</v>
      </c>
      <c r="D155">
        <v>1543</v>
      </c>
      <c r="E155">
        <v>1560</v>
      </c>
      <c r="F155">
        <v>18</v>
      </c>
      <c r="G155">
        <v>0</v>
      </c>
      <c r="H155">
        <v>22</v>
      </c>
      <c r="I155">
        <v>2.91</v>
      </c>
      <c r="J155">
        <v>48.28</v>
      </c>
      <c r="K155" s="1" t="s">
        <v>304</v>
      </c>
      <c r="L155">
        <v>3130</v>
      </c>
      <c r="M155">
        <v>66</v>
      </c>
      <c r="N155">
        <v>2.11</v>
      </c>
      <c r="O155" s="1" t="s">
        <v>17</v>
      </c>
    </row>
    <row r="156" spans="1:15" x14ac:dyDescent="0.35">
      <c r="A156" s="1" t="s">
        <v>305</v>
      </c>
      <c r="B156">
        <v>452529</v>
      </c>
      <c r="C156">
        <v>7067</v>
      </c>
      <c r="D156">
        <v>274925</v>
      </c>
      <c r="E156">
        <v>170537</v>
      </c>
      <c r="F156">
        <v>7096</v>
      </c>
      <c r="G156">
        <v>298</v>
      </c>
      <c r="H156">
        <v>9848</v>
      </c>
      <c r="I156">
        <v>1.56</v>
      </c>
      <c r="J156">
        <v>60.75</v>
      </c>
      <c r="K156" s="1" t="s">
        <v>306</v>
      </c>
      <c r="L156">
        <v>373628</v>
      </c>
      <c r="M156">
        <v>78901</v>
      </c>
      <c r="N156">
        <v>21.12</v>
      </c>
      <c r="O156" s="1" t="s">
        <v>23</v>
      </c>
    </row>
    <row r="157" spans="1:15" x14ac:dyDescent="0.35">
      <c r="A157" s="1" t="s">
        <v>307</v>
      </c>
      <c r="B157">
        <v>14203</v>
      </c>
      <c r="C157">
        <v>300</v>
      </c>
      <c r="D157">
        <v>13007</v>
      </c>
      <c r="E157">
        <v>896</v>
      </c>
      <c r="F157">
        <v>28</v>
      </c>
      <c r="G157">
        <v>1</v>
      </c>
      <c r="H157">
        <v>102</v>
      </c>
      <c r="I157">
        <v>2.11</v>
      </c>
      <c r="J157">
        <v>91.58</v>
      </c>
      <c r="K157" s="1" t="s">
        <v>308</v>
      </c>
      <c r="L157">
        <v>13816</v>
      </c>
      <c r="M157">
        <v>387</v>
      </c>
      <c r="N157">
        <v>2.8</v>
      </c>
      <c r="O157" s="1" t="s">
        <v>37</v>
      </c>
    </row>
    <row r="158" spans="1:15" x14ac:dyDescent="0.35">
      <c r="A158" s="1" t="s">
        <v>309</v>
      </c>
      <c r="B158">
        <v>2305</v>
      </c>
      <c r="C158">
        <v>46</v>
      </c>
      <c r="D158">
        <v>1175</v>
      </c>
      <c r="E158">
        <v>1084</v>
      </c>
      <c r="F158">
        <v>43</v>
      </c>
      <c r="G158">
        <v>1</v>
      </c>
      <c r="H158">
        <v>0</v>
      </c>
      <c r="I158">
        <v>2</v>
      </c>
      <c r="J158">
        <v>50.98</v>
      </c>
      <c r="K158" s="1" t="s">
        <v>39</v>
      </c>
      <c r="L158">
        <v>2211</v>
      </c>
      <c r="M158">
        <v>94</v>
      </c>
      <c r="N158">
        <v>4.25</v>
      </c>
      <c r="O158" s="1" t="s">
        <v>23</v>
      </c>
    </row>
    <row r="159" spans="1:15" x14ac:dyDescent="0.35">
      <c r="A159" s="1" t="s">
        <v>310</v>
      </c>
      <c r="B159">
        <v>272421</v>
      </c>
      <c r="C159">
        <v>28432</v>
      </c>
      <c r="D159">
        <v>150376</v>
      </c>
      <c r="E159">
        <v>93613</v>
      </c>
      <c r="F159">
        <v>0</v>
      </c>
      <c r="G159">
        <v>0</v>
      </c>
      <c r="H159">
        <v>0</v>
      </c>
      <c r="I159">
        <v>10.44</v>
      </c>
      <c r="J159">
        <v>55.2</v>
      </c>
      <c r="K159" s="1" t="s">
        <v>311</v>
      </c>
      <c r="L159">
        <v>264836</v>
      </c>
      <c r="M159">
        <v>7585</v>
      </c>
      <c r="N159">
        <v>2.86</v>
      </c>
      <c r="O159" s="1" t="s">
        <v>20</v>
      </c>
    </row>
    <row r="160" spans="1:15" x14ac:dyDescent="0.35">
      <c r="A160" s="1" t="s">
        <v>312</v>
      </c>
      <c r="B160">
        <v>2805</v>
      </c>
      <c r="C160">
        <v>11</v>
      </c>
      <c r="D160">
        <v>2121</v>
      </c>
      <c r="E160">
        <v>673</v>
      </c>
      <c r="F160">
        <v>23</v>
      </c>
      <c r="G160">
        <v>0</v>
      </c>
      <c r="H160">
        <v>15</v>
      </c>
      <c r="I160">
        <v>0.39</v>
      </c>
      <c r="J160">
        <v>75.61</v>
      </c>
      <c r="K160" s="1" t="s">
        <v>313</v>
      </c>
      <c r="L160">
        <v>2730</v>
      </c>
      <c r="M160">
        <v>75</v>
      </c>
      <c r="N160">
        <v>2.75</v>
      </c>
      <c r="O160" s="1" t="s">
        <v>48</v>
      </c>
    </row>
    <row r="161" spans="1:15" x14ac:dyDescent="0.35">
      <c r="A161" s="1" t="s">
        <v>314</v>
      </c>
      <c r="B161">
        <v>11424</v>
      </c>
      <c r="C161">
        <v>720</v>
      </c>
      <c r="D161">
        <v>5939</v>
      </c>
      <c r="E161">
        <v>4765</v>
      </c>
      <c r="F161">
        <v>39</v>
      </c>
      <c r="G161">
        <v>3</v>
      </c>
      <c r="H161">
        <v>49</v>
      </c>
      <c r="I161">
        <v>6.3</v>
      </c>
      <c r="J161">
        <v>51.99</v>
      </c>
      <c r="K161" s="1" t="s">
        <v>142</v>
      </c>
      <c r="L161">
        <v>10992</v>
      </c>
      <c r="M161">
        <v>432</v>
      </c>
      <c r="N161">
        <v>3.93</v>
      </c>
      <c r="O161" s="1" t="s">
        <v>17</v>
      </c>
    </row>
    <row r="162" spans="1:15" x14ac:dyDescent="0.35">
      <c r="A162" s="1" t="s">
        <v>315</v>
      </c>
      <c r="B162">
        <v>1483</v>
      </c>
      <c r="C162">
        <v>24</v>
      </c>
      <c r="D162">
        <v>925</v>
      </c>
      <c r="E162">
        <v>534</v>
      </c>
      <c r="F162">
        <v>44</v>
      </c>
      <c r="G162">
        <v>1</v>
      </c>
      <c r="H162">
        <v>35</v>
      </c>
      <c r="I162">
        <v>1.62</v>
      </c>
      <c r="J162">
        <v>62.37</v>
      </c>
      <c r="K162" s="1" t="s">
        <v>316</v>
      </c>
      <c r="L162">
        <v>1079</v>
      </c>
      <c r="M162">
        <v>404</v>
      </c>
      <c r="N162">
        <v>37.44</v>
      </c>
      <c r="O162" s="1" t="s">
        <v>30</v>
      </c>
    </row>
    <row r="163" spans="1:15" x14ac:dyDescent="0.35">
      <c r="A163" s="1" t="s">
        <v>317</v>
      </c>
      <c r="B163">
        <v>79395</v>
      </c>
      <c r="C163">
        <v>5700</v>
      </c>
      <c r="D163">
        <v>0</v>
      </c>
      <c r="E163">
        <v>73695</v>
      </c>
      <c r="F163">
        <v>398</v>
      </c>
      <c r="G163">
        <v>3</v>
      </c>
      <c r="H163">
        <v>0</v>
      </c>
      <c r="I163">
        <v>7.18</v>
      </c>
      <c r="J163">
        <v>0</v>
      </c>
      <c r="K163" s="1" t="s">
        <v>85</v>
      </c>
      <c r="L163">
        <v>78048</v>
      </c>
      <c r="M163">
        <v>1347</v>
      </c>
      <c r="N163">
        <v>1.73</v>
      </c>
      <c r="O163" s="1" t="s">
        <v>20</v>
      </c>
    </row>
    <row r="164" spans="1:15" x14ac:dyDescent="0.35">
      <c r="A164" s="1" t="s">
        <v>318</v>
      </c>
      <c r="B164">
        <v>34477</v>
      </c>
      <c r="C164">
        <v>1978</v>
      </c>
      <c r="D164">
        <v>30900</v>
      </c>
      <c r="E164">
        <v>1599</v>
      </c>
      <c r="F164">
        <v>65</v>
      </c>
      <c r="G164">
        <v>1</v>
      </c>
      <c r="H164">
        <v>200</v>
      </c>
      <c r="I164">
        <v>5.74</v>
      </c>
      <c r="J164">
        <v>89.62</v>
      </c>
      <c r="K164" s="1" t="s">
        <v>319</v>
      </c>
      <c r="L164">
        <v>33634</v>
      </c>
      <c r="M164">
        <v>843</v>
      </c>
      <c r="N164">
        <v>2.5099999999999998</v>
      </c>
      <c r="O164" s="1" t="s">
        <v>20</v>
      </c>
    </row>
    <row r="165" spans="1:15" x14ac:dyDescent="0.35">
      <c r="A165" s="1" t="s">
        <v>320</v>
      </c>
      <c r="B165">
        <v>674</v>
      </c>
      <c r="C165">
        <v>40</v>
      </c>
      <c r="D165">
        <v>0</v>
      </c>
      <c r="E165">
        <v>634</v>
      </c>
      <c r="F165">
        <v>24</v>
      </c>
      <c r="G165">
        <v>2</v>
      </c>
      <c r="H165">
        <v>0</v>
      </c>
      <c r="I165">
        <v>5.93</v>
      </c>
      <c r="J165">
        <v>0</v>
      </c>
      <c r="K165" s="1" t="s">
        <v>85</v>
      </c>
      <c r="L165">
        <v>522</v>
      </c>
      <c r="M165">
        <v>152</v>
      </c>
      <c r="N165">
        <v>29.12</v>
      </c>
      <c r="O165" s="1" t="s">
        <v>17</v>
      </c>
    </row>
    <row r="166" spans="1:15" x14ac:dyDescent="0.35">
      <c r="A166" s="1" t="s">
        <v>321</v>
      </c>
      <c r="B166">
        <v>462</v>
      </c>
      <c r="C166">
        <v>7</v>
      </c>
      <c r="D166">
        <v>440</v>
      </c>
      <c r="E166">
        <v>15</v>
      </c>
      <c r="F166">
        <v>4</v>
      </c>
      <c r="G166">
        <v>0</v>
      </c>
      <c r="H166">
        <v>0</v>
      </c>
      <c r="I166">
        <v>1.52</v>
      </c>
      <c r="J166">
        <v>95.24</v>
      </c>
      <c r="K166" s="1" t="s">
        <v>322</v>
      </c>
      <c r="L166">
        <v>451</v>
      </c>
      <c r="M166">
        <v>11</v>
      </c>
      <c r="N166">
        <v>2.44</v>
      </c>
      <c r="O166" s="1" t="s">
        <v>37</v>
      </c>
    </row>
    <row r="167" spans="1:15" x14ac:dyDescent="0.35">
      <c r="A167" s="1" t="s">
        <v>323</v>
      </c>
      <c r="B167">
        <v>7235</v>
      </c>
      <c r="C167">
        <v>60</v>
      </c>
      <c r="D167">
        <v>6028</v>
      </c>
      <c r="E167">
        <v>1147</v>
      </c>
      <c r="F167">
        <v>43</v>
      </c>
      <c r="G167">
        <v>1</v>
      </c>
      <c r="H167">
        <v>58</v>
      </c>
      <c r="I167">
        <v>0.83</v>
      </c>
      <c r="J167">
        <v>83.32</v>
      </c>
      <c r="K167" s="1" t="s">
        <v>324</v>
      </c>
      <c r="L167">
        <v>6921</v>
      </c>
      <c r="M167">
        <v>314</v>
      </c>
      <c r="N167">
        <v>4.54</v>
      </c>
      <c r="O167" s="1" t="s">
        <v>20</v>
      </c>
    </row>
    <row r="168" spans="1:15" x14ac:dyDescent="0.35">
      <c r="A168" s="1" t="s">
        <v>325</v>
      </c>
      <c r="B168">
        <v>509</v>
      </c>
      <c r="C168">
        <v>21</v>
      </c>
      <c r="D168">
        <v>183</v>
      </c>
      <c r="E168">
        <v>305</v>
      </c>
      <c r="F168">
        <v>0</v>
      </c>
      <c r="G168">
        <v>0</v>
      </c>
      <c r="H168">
        <v>0</v>
      </c>
      <c r="I168">
        <v>4.13</v>
      </c>
      <c r="J168">
        <v>35.950000000000003</v>
      </c>
      <c r="K168" s="1" t="s">
        <v>326</v>
      </c>
      <c r="L168">
        <v>509</v>
      </c>
      <c r="M168">
        <v>0</v>
      </c>
      <c r="N168">
        <v>0</v>
      </c>
      <c r="O168" s="1" t="s">
        <v>23</v>
      </c>
    </row>
    <row r="169" spans="1:15" x14ac:dyDescent="0.35">
      <c r="A169" s="1" t="s">
        <v>327</v>
      </c>
      <c r="B169">
        <v>3297</v>
      </c>
      <c r="C169">
        <v>58</v>
      </c>
      <c r="D169">
        <v>3111</v>
      </c>
      <c r="E169">
        <v>128</v>
      </c>
      <c r="F169">
        <v>6</v>
      </c>
      <c r="G169">
        <v>0</v>
      </c>
      <c r="H169">
        <v>2</v>
      </c>
      <c r="I169">
        <v>1.76</v>
      </c>
      <c r="J169">
        <v>94.36</v>
      </c>
      <c r="K169" s="1" t="s">
        <v>328</v>
      </c>
      <c r="L169">
        <v>3250</v>
      </c>
      <c r="M169">
        <v>47</v>
      </c>
      <c r="N169">
        <v>1.45</v>
      </c>
      <c r="O169" s="1" t="s">
        <v>48</v>
      </c>
    </row>
    <row r="170" spans="1:15" x14ac:dyDescent="0.35">
      <c r="A170" s="1" t="s">
        <v>329</v>
      </c>
      <c r="B170">
        <v>24</v>
      </c>
      <c r="C170">
        <v>0</v>
      </c>
      <c r="D170">
        <v>0</v>
      </c>
      <c r="E170">
        <v>24</v>
      </c>
      <c r="F170">
        <v>0</v>
      </c>
      <c r="G170">
        <v>0</v>
      </c>
      <c r="H170">
        <v>0</v>
      </c>
      <c r="I170">
        <v>0</v>
      </c>
      <c r="J170">
        <v>0</v>
      </c>
      <c r="K170" s="1" t="s">
        <v>60</v>
      </c>
      <c r="L170">
        <v>24</v>
      </c>
      <c r="M170">
        <v>0</v>
      </c>
      <c r="N170">
        <v>0</v>
      </c>
      <c r="O170" s="1" t="s">
        <v>48</v>
      </c>
    </row>
    <row r="171" spans="1:15" x14ac:dyDescent="0.35">
      <c r="A171" s="1" t="s">
        <v>330</v>
      </c>
      <c r="B171">
        <v>874</v>
      </c>
      <c r="C171">
        <v>18</v>
      </c>
      <c r="D171">
        <v>607</v>
      </c>
      <c r="E171">
        <v>249</v>
      </c>
      <c r="F171">
        <v>6</v>
      </c>
      <c r="G171">
        <v>0</v>
      </c>
      <c r="H171">
        <v>8</v>
      </c>
      <c r="I171">
        <v>2.06</v>
      </c>
      <c r="J171">
        <v>69.45</v>
      </c>
      <c r="K171" s="1" t="s">
        <v>202</v>
      </c>
      <c r="L171">
        <v>783</v>
      </c>
      <c r="M171">
        <v>91</v>
      </c>
      <c r="N171">
        <v>11.62</v>
      </c>
      <c r="O171" s="1" t="s">
        <v>23</v>
      </c>
    </row>
    <row r="172" spans="1:15" x14ac:dyDescent="0.35">
      <c r="A172" s="1" t="s">
        <v>331</v>
      </c>
      <c r="B172">
        <v>148</v>
      </c>
      <c r="C172">
        <v>8</v>
      </c>
      <c r="D172">
        <v>128</v>
      </c>
      <c r="E172">
        <v>12</v>
      </c>
      <c r="F172">
        <v>1</v>
      </c>
      <c r="G172">
        <v>0</v>
      </c>
      <c r="H172">
        <v>0</v>
      </c>
      <c r="I172">
        <v>5.41</v>
      </c>
      <c r="J172">
        <v>86.49</v>
      </c>
      <c r="K172" s="1" t="s">
        <v>332</v>
      </c>
      <c r="L172">
        <v>137</v>
      </c>
      <c r="M172">
        <v>11</v>
      </c>
      <c r="N172">
        <v>8.0299999999999994</v>
      </c>
      <c r="O172" s="1" t="s">
        <v>30</v>
      </c>
    </row>
    <row r="173" spans="1:15" x14ac:dyDescent="0.35">
      <c r="A173" s="1" t="s">
        <v>333</v>
      </c>
      <c r="B173">
        <v>1455</v>
      </c>
      <c r="C173">
        <v>50</v>
      </c>
      <c r="D173">
        <v>1157</v>
      </c>
      <c r="E173">
        <v>248</v>
      </c>
      <c r="F173">
        <v>3</v>
      </c>
      <c r="G173">
        <v>0</v>
      </c>
      <c r="H173">
        <v>15</v>
      </c>
      <c r="I173">
        <v>3.44</v>
      </c>
      <c r="J173">
        <v>79.52</v>
      </c>
      <c r="K173" s="1" t="s">
        <v>334</v>
      </c>
      <c r="L173">
        <v>1381</v>
      </c>
      <c r="M173">
        <v>74</v>
      </c>
      <c r="N173">
        <v>5.36</v>
      </c>
      <c r="O173" s="1" t="s">
        <v>17</v>
      </c>
    </row>
    <row r="174" spans="1:15" x14ac:dyDescent="0.35">
      <c r="A174" s="1" t="s">
        <v>335</v>
      </c>
      <c r="B174">
        <v>227019</v>
      </c>
      <c r="C174">
        <v>5630</v>
      </c>
      <c r="D174">
        <v>210469</v>
      </c>
      <c r="E174">
        <v>10920</v>
      </c>
      <c r="F174">
        <v>919</v>
      </c>
      <c r="G174">
        <v>17</v>
      </c>
      <c r="H174">
        <v>982</v>
      </c>
      <c r="I174">
        <v>2.48</v>
      </c>
      <c r="J174">
        <v>92.71</v>
      </c>
      <c r="K174" s="1" t="s">
        <v>34</v>
      </c>
      <c r="L174">
        <v>220572</v>
      </c>
      <c r="M174">
        <v>6447</v>
      </c>
      <c r="N174">
        <v>2.92</v>
      </c>
      <c r="O174" s="1" t="s">
        <v>20</v>
      </c>
    </row>
    <row r="175" spans="1:15" x14ac:dyDescent="0.35">
      <c r="A175" s="1" t="s">
        <v>336</v>
      </c>
      <c r="B175">
        <v>4290259</v>
      </c>
      <c r="C175">
        <v>148011</v>
      </c>
      <c r="D175">
        <v>1325804</v>
      </c>
      <c r="E175">
        <v>2816444</v>
      </c>
      <c r="F175">
        <v>56336</v>
      </c>
      <c r="G175">
        <v>1076</v>
      </c>
      <c r="H175">
        <v>27941</v>
      </c>
      <c r="I175">
        <v>3.45</v>
      </c>
      <c r="J175">
        <v>30.9</v>
      </c>
      <c r="K175" s="1" t="s">
        <v>337</v>
      </c>
      <c r="L175">
        <v>3834677</v>
      </c>
      <c r="M175">
        <v>455582</v>
      </c>
      <c r="N175">
        <v>11.88</v>
      </c>
      <c r="O175" s="1" t="s">
        <v>30</v>
      </c>
    </row>
    <row r="176" spans="1:15" x14ac:dyDescent="0.35">
      <c r="A176" s="1" t="s">
        <v>338</v>
      </c>
      <c r="B176">
        <v>1128</v>
      </c>
      <c r="C176">
        <v>2</v>
      </c>
      <c r="D176">
        <v>986</v>
      </c>
      <c r="E176">
        <v>140</v>
      </c>
      <c r="F176">
        <v>13</v>
      </c>
      <c r="G176">
        <v>0</v>
      </c>
      <c r="H176">
        <v>4</v>
      </c>
      <c r="I176">
        <v>0.18</v>
      </c>
      <c r="J176">
        <v>87.41</v>
      </c>
      <c r="K176" s="1" t="s">
        <v>339</v>
      </c>
      <c r="L176">
        <v>1069</v>
      </c>
      <c r="M176">
        <v>59</v>
      </c>
      <c r="N176">
        <v>5.52</v>
      </c>
      <c r="O176" s="1" t="s">
        <v>23</v>
      </c>
    </row>
    <row r="177" spans="1:15" x14ac:dyDescent="0.35">
      <c r="A177" s="1" t="s">
        <v>340</v>
      </c>
      <c r="B177">
        <v>67096</v>
      </c>
      <c r="C177">
        <v>1636</v>
      </c>
      <c r="D177">
        <v>37202</v>
      </c>
      <c r="E177">
        <v>28258</v>
      </c>
      <c r="F177">
        <v>835</v>
      </c>
      <c r="G177">
        <v>11</v>
      </c>
      <c r="H177">
        <v>317</v>
      </c>
      <c r="I177">
        <v>2.44</v>
      </c>
      <c r="J177">
        <v>55.45</v>
      </c>
      <c r="K177" s="1" t="s">
        <v>341</v>
      </c>
      <c r="L177">
        <v>60767</v>
      </c>
      <c r="M177">
        <v>6329</v>
      </c>
      <c r="N177">
        <v>10.42</v>
      </c>
      <c r="O177" s="1" t="s">
        <v>20</v>
      </c>
    </row>
    <row r="178" spans="1:15" x14ac:dyDescent="0.35">
      <c r="A178" s="1" t="s">
        <v>342</v>
      </c>
      <c r="B178">
        <v>59177</v>
      </c>
      <c r="C178">
        <v>345</v>
      </c>
      <c r="D178">
        <v>52510</v>
      </c>
      <c r="E178">
        <v>6322</v>
      </c>
      <c r="F178">
        <v>264</v>
      </c>
      <c r="G178">
        <v>1</v>
      </c>
      <c r="H178">
        <v>328</v>
      </c>
      <c r="I178">
        <v>0.57999999999999996</v>
      </c>
      <c r="J178">
        <v>88.73</v>
      </c>
      <c r="K178" s="1" t="s">
        <v>343</v>
      </c>
      <c r="L178">
        <v>57193</v>
      </c>
      <c r="M178">
        <v>1984</v>
      </c>
      <c r="N178">
        <v>3.47</v>
      </c>
      <c r="O178" s="1" t="s">
        <v>17</v>
      </c>
    </row>
    <row r="179" spans="1:15" x14ac:dyDescent="0.35">
      <c r="A179" s="1" t="s">
        <v>344</v>
      </c>
      <c r="B179">
        <v>301708</v>
      </c>
      <c r="C179">
        <v>45844</v>
      </c>
      <c r="D179">
        <v>1437</v>
      </c>
      <c r="E179">
        <v>254427</v>
      </c>
      <c r="F179">
        <v>688</v>
      </c>
      <c r="G179">
        <v>7</v>
      </c>
      <c r="H179">
        <v>3</v>
      </c>
      <c r="I179">
        <v>15.19</v>
      </c>
      <c r="J179">
        <v>0.48</v>
      </c>
      <c r="K179" s="1" t="s">
        <v>345</v>
      </c>
      <c r="L179">
        <v>296944</v>
      </c>
      <c r="M179">
        <v>4764</v>
      </c>
      <c r="N179">
        <v>1.6</v>
      </c>
      <c r="O179" s="1" t="s">
        <v>20</v>
      </c>
    </row>
    <row r="180" spans="1:15" x14ac:dyDescent="0.35">
      <c r="A180" s="1" t="s">
        <v>346</v>
      </c>
      <c r="B180">
        <v>1202</v>
      </c>
      <c r="C180">
        <v>35</v>
      </c>
      <c r="D180">
        <v>951</v>
      </c>
      <c r="E180">
        <v>216</v>
      </c>
      <c r="F180">
        <v>10</v>
      </c>
      <c r="G180">
        <v>1</v>
      </c>
      <c r="H180">
        <v>3</v>
      </c>
      <c r="I180">
        <v>2.91</v>
      </c>
      <c r="J180">
        <v>79.12</v>
      </c>
      <c r="K180" s="1" t="s">
        <v>347</v>
      </c>
      <c r="L180">
        <v>1064</v>
      </c>
      <c r="M180">
        <v>138</v>
      </c>
      <c r="N180">
        <v>12.97</v>
      </c>
      <c r="O180" s="1" t="s">
        <v>30</v>
      </c>
    </row>
    <row r="181" spans="1:15" x14ac:dyDescent="0.35">
      <c r="A181" s="1" t="s">
        <v>348</v>
      </c>
      <c r="B181">
        <v>21209</v>
      </c>
      <c r="C181">
        <v>121</v>
      </c>
      <c r="D181">
        <v>11674</v>
      </c>
      <c r="E181">
        <v>9414</v>
      </c>
      <c r="F181">
        <v>678</v>
      </c>
      <c r="G181">
        <v>5</v>
      </c>
      <c r="H181">
        <v>569</v>
      </c>
      <c r="I181">
        <v>0.56999999999999995</v>
      </c>
      <c r="J181">
        <v>55.04</v>
      </c>
      <c r="K181" s="1" t="s">
        <v>349</v>
      </c>
      <c r="L181">
        <v>17149</v>
      </c>
      <c r="M181">
        <v>4060</v>
      </c>
      <c r="N181">
        <v>23.67</v>
      </c>
      <c r="O181" s="1" t="s">
        <v>20</v>
      </c>
    </row>
    <row r="182" spans="1:15" x14ac:dyDescent="0.35">
      <c r="A182" s="1" t="s">
        <v>350</v>
      </c>
      <c r="B182">
        <v>15988</v>
      </c>
      <c r="C182">
        <v>146</v>
      </c>
      <c r="D182">
        <v>9959</v>
      </c>
      <c r="E182">
        <v>5883</v>
      </c>
      <c r="F182">
        <v>525</v>
      </c>
      <c r="G182">
        <v>4</v>
      </c>
      <c r="H182">
        <v>213</v>
      </c>
      <c r="I182">
        <v>0.91</v>
      </c>
      <c r="J182">
        <v>62.29</v>
      </c>
      <c r="K182" s="1" t="s">
        <v>351</v>
      </c>
      <c r="L182">
        <v>12334</v>
      </c>
      <c r="M182">
        <v>3654</v>
      </c>
      <c r="N182">
        <v>29.63</v>
      </c>
      <c r="O182" s="1" t="s">
        <v>30</v>
      </c>
    </row>
    <row r="183" spans="1:15" x14ac:dyDescent="0.35">
      <c r="A183" s="1" t="s">
        <v>352</v>
      </c>
      <c r="B183">
        <v>431</v>
      </c>
      <c r="C183">
        <v>0</v>
      </c>
      <c r="D183">
        <v>365</v>
      </c>
      <c r="E183">
        <v>66</v>
      </c>
      <c r="F183">
        <v>11</v>
      </c>
      <c r="G183">
        <v>0</v>
      </c>
      <c r="H183">
        <v>0</v>
      </c>
      <c r="I183">
        <v>0</v>
      </c>
      <c r="J183">
        <v>84.69</v>
      </c>
      <c r="K183" s="1" t="s">
        <v>60</v>
      </c>
      <c r="L183">
        <v>384</v>
      </c>
      <c r="M183">
        <v>47</v>
      </c>
      <c r="N183">
        <v>12.24</v>
      </c>
      <c r="O183" s="1" t="s">
        <v>37</v>
      </c>
    </row>
    <row r="184" spans="1:15" x14ac:dyDescent="0.35">
      <c r="A184" s="1" t="s">
        <v>353</v>
      </c>
      <c r="B184">
        <v>10621</v>
      </c>
      <c r="C184">
        <v>78</v>
      </c>
      <c r="D184">
        <v>3752</v>
      </c>
      <c r="E184">
        <v>6791</v>
      </c>
      <c r="F184">
        <v>152</v>
      </c>
      <c r="G184">
        <v>2</v>
      </c>
      <c r="H184">
        <v>0</v>
      </c>
      <c r="I184">
        <v>0.73</v>
      </c>
      <c r="J184">
        <v>35.33</v>
      </c>
      <c r="K184" s="1" t="s">
        <v>354</v>
      </c>
      <c r="L184">
        <v>8916</v>
      </c>
      <c r="M184">
        <v>1705</v>
      </c>
      <c r="N184">
        <v>19.12</v>
      </c>
      <c r="O184" s="1" t="s">
        <v>17</v>
      </c>
    </row>
    <row r="185" spans="1:15" x14ac:dyDescent="0.35">
      <c r="A185" s="1" t="s">
        <v>355</v>
      </c>
      <c r="B185">
        <v>10</v>
      </c>
      <c r="C185">
        <v>1</v>
      </c>
      <c r="D185">
        <v>8</v>
      </c>
      <c r="E185">
        <v>1</v>
      </c>
      <c r="F185">
        <v>0</v>
      </c>
      <c r="G185">
        <v>0</v>
      </c>
      <c r="H185">
        <v>0</v>
      </c>
      <c r="I185">
        <v>10</v>
      </c>
      <c r="J185">
        <v>80</v>
      </c>
      <c r="K185" s="1" t="s">
        <v>356</v>
      </c>
      <c r="L185">
        <v>10</v>
      </c>
      <c r="M185">
        <v>0</v>
      </c>
      <c r="N185">
        <v>0</v>
      </c>
      <c r="O185" s="1" t="s">
        <v>23</v>
      </c>
    </row>
    <row r="186" spans="1:15" x14ac:dyDescent="0.35">
      <c r="A186" s="1" t="s">
        <v>357</v>
      </c>
      <c r="B186">
        <v>1691</v>
      </c>
      <c r="C186">
        <v>483</v>
      </c>
      <c r="D186">
        <v>833</v>
      </c>
      <c r="E186">
        <v>375</v>
      </c>
      <c r="F186">
        <v>10</v>
      </c>
      <c r="G186">
        <v>4</v>
      </c>
      <c r="H186">
        <v>36</v>
      </c>
      <c r="I186">
        <v>28.56</v>
      </c>
      <c r="J186">
        <v>49.26</v>
      </c>
      <c r="K186" s="1" t="s">
        <v>358</v>
      </c>
      <c r="L186">
        <v>1619</v>
      </c>
      <c r="M186">
        <v>72</v>
      </c>
      <c r="N186">
        <v>4.45</v>
      </c>
      <c r="O186" s="1" t="s">
        <v>17</v>
      </c>
    </row>
    <row r="187" spans="1:15" x14ac:dyDescent="0.35">
      <c r="A187" s="1" t="s">
        <v>359</v>
      </c>
      <c r="B187">
        <v>4552</v>
      </c>
      <c r="C187">
        <v>140</v>
      </c>
      <c r="D187">
        <v>2815</v>
      </c>
      <c r="E187">
        <v>1597</v>
      </c>
      <c r="F187">
        <v>71</v>
      </c>
      <c r="G187">
        <v>1</v>
      </c>
      <c r="H187">
        <v>465</v>
      </c>
      <c r="I187">
        <v>3.08</v>
      </c>
      <c r="J187">
        <v>61.84</v>
      </c>
      <c r="K187" s="1" t="s">
        <v>360</v>
      </c>
      <c r="L187">
        <v>3326</v>
      </c>
      <c r="M187">
        <v>1226</v>
      </c>
      <c r="N187">
        <v>36.86</v>
      </c>
      <c r="O187" s="1" t="s">
        <v>23</v>
      </c>
    </row>
    <row r="188" spans="1:15" x14ac:dyDescent="0.35">
      <c r="A188" s="1" t="s">
        <v>361</v>
      </c>
      <c r="B188">
        <v>2704</v>
      </c>
      <c r="C188">
        <v>36</v>
      </c>
      <c r="D188">
        <v>542</v>
      </c>
      <c r="E188">
        <v>2126</v>
      </c>
      <c r="F188">
        <v>192</v>
      </c>
      <c r="G188">
        <v>2</v>
      </c>
      <c r="H188">
        <v>24</v>
      </c>
      <c r="I188">
        <v>1.33</v>
      </c>
      <c r="J188">
        <v>20.04</v>
      </c>
      <c r="K188" s="1" t="s">
        <v>362</v>
      </c>
      <c r="L188">
        <v>1713</v>
      </c>
      <c r="M188">
        <v>991</v>
      </c>
      <c r="N188">
        <v>57.85</v>
      </c>
      <c r="O188" s="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8AE8C-C8EC-47F7-AE25-4445A24A225A}">
  <dimension ref="A1:U188"/>
  <sheetViews>
    <sheetView topLeftCell="A2" workbookViewId="0">
      <pane xSplit="1" topLeftCell="B1" activePane="topRight" state="frozen"/>
      <selection pane="topRight" activeCell="A2" sqref="A2:U188"/>
    </sheetView>
  </sheetViews>
  <sheetFormatPr defaultRowHeight="14.5" x14ac:dyDescent="0.35"/>
  <cols>
    <col min="1" max="1" width="28.7265625" bestFit="1" customWidth="1"/>
    <col min="2" max="2" width="11.90625" customWidth="1"/>
    <col min="3" max="3" width="9" bestFit="1" customWidth="1"/>
    <col min="4" max="4" width="11.81640625" bestFit="1" customWidth="1"/>
    <col min="5" max="5" width="8.1796875" bestFit="1" customWidth="1"/>
    <col min="6" max="6" width="11.7265625" bestFit="1" customWidth="1"/>
    <col min="7" max="7" width="13" bestFit="1" customWidth="1"/>
    <col min="8" max="8" width="15.7265625" bestFit="1" customWidth="1"/>
    <col min="9" max="9" width="19" bestFit="1" customWidth="1"/>
    <col min="10" max="10" width="21.90625" bestFit="1" customWidth="1"/>
    <col min="11" max="11" width="23.08984375" bestFit="1" customWidth="1"/>
    <col min="12" max="12" width="20.453125" bestFit="1" customWidth="1"/>
    <col min="13" max="13" width="15.453125" bestFit="1" customWidth="1"/>
    <col min="14" max="14" width="18.36328125" bestFit="1" customWidth="1"/>
    <col min="15" max="15" width="20.26953125" bestFit="1" customWidth="1"/>
    <col min="16" max="16" width="12.453125" bestFit="1" customWidth="1"/>
    <col min="17" max="17" width="14.90625" style="2" bestFit="1" customWidth="1"/>
    <col min="18" max="18" width="22.54296875" bestFit="1" customWidth="1"/>
    <col min="19" max="19" width="15.81640625" style="4" customWidth="1"/>
    <col min="20" max="20" width="14.7265625" bestFit="1" customWidth="1"/>
    <col min="21" max="21" width="19.9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363</v>
      </c>
      <c r="Q1" s="2" t="s">
        <v>364</v>
      </c>
      <c r="R1" t="s">
        <v>365</v>
      </c>
      <c r="S1" s="4" t="s">
        <v>366</v>
      </c>
      <c r="T1" s="4" t="s">
        <v>367</v>
      </c>
      <c r="U1" s="4" t="s">
        <v>368</v>
      </c>
    </row>
    <row r="2" spans="1:21" x14ac:dyDescent="0.35">
      <c r="A2" s="1" t="s">
        <v>336</v>
      </c>
      <c r="B2">
        <v>4290259</v>
      </c>
      <c r="C2">
        <v>148011</v>
      </c>
      <c r="D2">
        <v>1325804</v>
      </c>
      <c r="E2">
        <v>2816444</v>
      </c>
      <c r="F2">
        <v>56336</v>
      </c>
      <c r="G2">
        <v>1076</v>
      </c>
      <c r="H2">
        <v>27941</v>
      </c>
      <c r="I2">
        <v>3.45</v>
      </c>
      <c r="J2">
        <v>30.9</v>
      </c>
      <c r="K2" s="1" t="s">
        <v>337</v>
      </c>
      <c r="L2">
        <v>3834677</v>
      </c>
      <c r="M2">
        <v>455582</v>
      </c>
      <c r="N2">
        <v>11.88</v>
      </c>
      <c r="O2" s="1" t="s">
        <v>30</v>
      </c>
      <c r="P2" s="3">
        <f>covid_data[[#This Row],[Deaths]]/covid_data[[#This Row],[Confirmed]]*100</f>
        <v>3.4499315775574386</v>
      </c>
      <c r="Q2" s="2">
        <f>covid_data[[#This Row],[Recovered]]/covid_data[[#This Row],[Confirmed]]</f>
        <v>0.30902656459668287</v>
      </c>
      <c r="R2" s="3">
        <f>covid_data[[#This Row],[Active]]/covid_data[[#This Row],[Confirmed]]*100</f>
        <v>65.647411962774271</v>
      </c>
      <c r="S2" s="5" t="str">
        <f>IF(covid_data[[#This Row],[New deaths]]&gt;5,"High Risk","Low Risk")</f>
        <v>High Risk</v>
      </c>
      <c r="T2" s="6">
        <f>RANK(B2,covid_data[Confirmed],0)</f>
        <v>1</v>
      </c>
      <c r="U2" s="5" t="str">
        <f>_xlfn.IFS(B2&gt;50000,"Critical",B2&gt;10000,"High",B2&gt;5000,"Moderate",B2&gt;=10,"Low")</f>
        <v>Critical</v>
      </c>
    </row>
    <row r="3" spans="1:21" x14ac:dyDescent="0.35">
      <c r="A3" s="1" t="s">
        <v>67</v>
      </c>
      <c r="B3">
        <v>2442375</v>
      </c>
      <c r="C3">
        <v>87618</v>
      </c>
      <c r="D3">
        <v>1846641</v>
      </c>
      <c r="E3">
        <v>508116</v>
      </c>
      <c r="F3">
        <v>23284</v>
      </c>
      <c r="G3">
        <v>614</v>
      </c>
      <c r="H3">
        <v>33728</v>
      </c>
      <c r="I3">
        <v>3.59</v>
      </c>
      <c r="J3">
        <v>75.61</v>
      </c>
      <c r="K3" s="1" t="s">
        <v>68</v>
      </c>
      <c r="L3">
        <v>2118646</v>
      </c>
      <c r="M3">
        <v>323729</v>
      </c>
      <c r="N3">
        <v>15.28</v>
      </c>
      <c r="O3" s="1" t="s">
        <v>30</v>
      </c>
      <c r="P3" s="3">
        <f>covid_data[[#This Row],[Deaths]]/covid_data[[#This Row],[Confirmed]]*100</f>
        <v>3.5874097957930293</v>
      </c>
      <c r="Q3" s="2">
        <f>covid_data[[#This Row],[Recovered]]/covid_data[[#This Row],[Confirmed]]</f>
        <v>0.75608413941348074</v>
      </c>
      <c r="R3" s="3">
        <f>covid_data[[#This Row],[Active]]/covid_data[[#This Row],[Confirmed]]*100</f>
        <v>20.804176262858899</v>
      </c>
      <c r="S3" s="5" t="str">
        <f>IF(covid_data[[#This Row],[New deaths]]&gt;5,"High Risk","Low Risk")</f>
        <v>High Risk</v>
      </c>
      <c r="T3" s="6">
        <f>RANK(B3,covid_data[Confirmed],0)</f>
        <v>2</v>
      </c>
      <c r="U3" s="5" t="str">
        <f>_xlfn.IFS(B3&gt;50000,"Critical",B3&gt;10000,"High",B3&gt;5000,"Moderate",B3&gt;=10,"Low")</f>
        <v>Critical</v>
      </c>
    </row>
    <row r="4" spans="1:21" x14ac:dyDescent="0.35">
      <c r="A4" s="1" t="s">
        <v>170</v>
      </c>
      <c r="B4">
        <v>1480073</v>
      </c>
      <c r="C4">
        <v>33408</v>
      </c>
      <c r="D4">
        <v>951166</v>
      </c>
      <c r="E4">
        <v>495499</v>
      </c>
      <c r="F4">
        <v>44457</v>
      </c>
      <c r="G4">
        <v>637</v>
      </c>
      <c r="H4">
        <v>33598</v>
      </c>
      <c r="I4">
        <v>2.2599999999999998</v>
      </c>
      <c r="J4">
        <v>64.260000000000005</v>
      </c>
      <c r="K4" s="1" t="s">
        <v>171</v>
      </c>
      <c r="L4">
        <v>1155338</v>
      </c>
      <c r="M4">
        <v>324735</v>
      </c>
      <c r="N4">
        <v>28.11</v>
      </c>
      <c r="O4" s="1" t="s">
        <v>48</v>
      </c>
      <c r="P4" s="3">
        <f>covid_data[[#This Row],[Deaths]]/covid_data[[#This Row],[Confirmed]]*100</f>
        <v>2.2571859631247917</v>
      </c>
      <c r="Q4" s="2">
        <f>covid_data[[#This Row],[Recovered]]/covid_data[[#This Row],[Confirmed]]</f>
        <v>0.64264803154979522</v>
      </c>
      <c r="R4" s="3">
        <f>covid_data[[#This Row],[Active]]/covid_data[[#This Row],[Confirmed]]*100</f>
        <v>33.478010881895692</v>
      </c>
      <c r="S4" s="5" t="str">
        <f>IF(covid_data[[#This Row],[New deaths]]&gt;5,"High Risk","Low Risk")</f>
        <v>High Risk</v>
      </c>
      <c r="T4" s="6">
        <f>RANK(B4,covid_data[Confirmed],0)</f>
        <v>3</v>
      </c>
      <c r="U4" s="5" t="str">
        <f>_xlfn.IFS(B4&gt;50000,"Critical",B4&gt;10000,"High",B4&gt;5000,"Moderate",B4&gt;=10,"Low")</f>
        <v>Critical</v>
      </c>
    </row>
    <row r="5" spans="1:21" x14ac:dyDescent="0.35">
      <c r="A5" s="1" t="s">
        <v>280</v>
      </c>
      <c r="B5">
        <v>816680</v>
      </c>
      <c r="C5">
        <v>13334</v>
      </c>
      <c r="D5">
        <v>602249</v>
      </c>
      <c r="E5">
        <v>201097</v>
      </c>
      <c r="F5">
        <v>5607</v>
      </c>
      <c r="G5">
        <v>85</v>
      </c>
      <c r="H5">
        <v>3077</v>
      </c>
      <c r="I5">
        <v>1.63</v>
      </c>
      <c r="J5">
        <v>73.739999999999995</v>
      </c>
      <c r="K5" s="1" t="s">
        <v>281</v>
      </c>
      <c r="L5">
        <v>776212</v>
      </c>
      <c r="M5">
        <v>40468</v>
      </c>
      <c r="N5">
        <v>5.21</v>
      </c>
      <c r="O5" s="1" t="s">
        <v>20</v>
      </c>
      <c r="P5" s="3">
        <f>covid_data[[#This Row],[Deaths]]/covid_data[[#This Row],[Confirmed]]*100</f>
        <v>1.6327080374197971</v>
      </c>
      <c r="Q5" s="2">
        <f>covid_data[[#This Row],[Recovered]]/covid_data[[#This Row],[Confirmed]]</f>
        <v>0.73743571533525987</v>
      </c>
      <c r="R5" s="3">
        <f>covid_data[[#This Row],[Active]]/covid_data[[#This Row],[Confirmed]]*100</f>
        <v>24.62372042905422</v>
      </c>
      <c r="S5" s="5" t="str">
        <f>IF(covid_data[[#This Row],[New deaths]]&gt;5,"High Risk","Low Risk")</f>
        <v>High Risk</v>
      </c>
      <c r="T5" s="6">
        <f>RANK(B5,covid_data[Confirmed],0)</f>
        <v>4</v>
      </c>
      <c r="U5" s="5" t="str">
        <f>_xlfn.IFS(B5&gt;50000,"Critical",B5&gt;10000,"High",B5&gt;5000,"Moderate",B5&gt;=10,"Low")</f>
        <v>Critical</v>
      </c>
    </row>
    <row r="6" spans="1:21" x14ac:dyDescent="0.35">
      <c r="A6" s="1" t="s">
        <v>305</v>
      </c>
      <c r="B6">
        <v>452529</v>
      </c>
      <c r="C6">
        <v>7067</v>
      </c>
      <c r="D6">
        <v>274925</v>
      </c>
      <c r="E6">
        <v>170537</v>
      </c>
      <c r="F6">
        <v>7096</v>
      </c>
      <c r="G6">
        <v>298</v>
      </c>
      <c r="H6">
        <v>9848</v>
      </c>
      <c r="I6">
        <v>1.56</v>
      </c>
      <c r="J6">
        <v>60.75</v>
      </c>
      <c r="K6" s="1" t="s">
        <v>306</v>
      </c>
      <c r="L6">
        <v>373628</v>
      </c>
      <c r="M6">
        <v>78901</v>
      </c>
      <c r="N6">
        <v>21.12</v>
      </c>
      <c r="O6" s="1" t="s">
        <v>23</v>
      </c>
      <c r="P6" s="3">
        <f>covid_data[[#This Row],[Deaths]]/covid_data[[#This Row],[Confirmed]]*100</f>
        <v>1.5616678710093719</v>
      </c>
      <c r="Q6" s="2">
        <f>covid_data[[#This Row],[Recovered]]/covid_data[[#This Row],[Confirmed]]</f>
        <v>0.60753012514115112</v>
      </c>
      <c r="R6" s="3">
        <f>covid_data[[#This Row],[Active]]/covid_data[[#This Row],[Confirmed]]*100</f>
        <v>37.68531961487551</v>
      </c>
      <c r="S6" s="5" t="str">
        <f>IF(covid_data[[#This Row],[New deaths]]&gt;5,"High Risk","Low Risk")</f>
        <v>High Risk</v>
      </c>
      <c r="T6" s="6">
        <f>RANK(B6,covid_data[Confirmed],0)</f>
        <v>5</v>
      </c>
      <c r="U6" s="5" t="str">
        <f>_xlfn.IFS(B6&gt;50000,"Critical",B6&gt;10000,"High",B6&gt;5000,"Moderate",B6&gt;=10,"Low")</f>
        <v>Critical</v>
      </c>
    </row>
    <row r="7" spans="1:21" x14ac:dyDescent="0.35">
      <c r="A7" s="1" t="s">
        <v>231</v>
      </c>
      <c r="B7">
        <v>395489</v>
      </c>
      <c r="C7">
        <v>44022</v>
      </c>
      <c r="D7">
        <v>303810</v>
      </c>
      <c r="E7">
        <v>47657</v>
      </c>
      <c r="F7">
        <v>4973</v>
      </c>
      <c r="G7">
        <v>342</v>
      </c>
      <c r="H7">
        <v>8588</v>
      </c>
      <c r="I7">
        <v>11.13</v>
      </c>
      <c r="J7">
        <v>76.819999999999993</v>
      </c>
      <c r="K7" s="1" t="s">
        <v>232</v>
      </c>
      <c r="L7">
        <v>349396</v>
      </c>
      <c r="M7">
        <v>46093</v>
      </c>
      <c r="N7">
        <v>13.19</v>
      </c>
      <c r="O7" s="1" t="s">
        <v>30</v>
      </c>
      <c r="P7" s="3">
        <f>covid_data[[#This Row],[Deaths]]/covid_data[[#This Row],[Confirmed]]*100</f>
        <v>11.131030193001576</v>
      </c>
      <c r="Q7" s="2">
        <f>covid_data[[#This Row],[Recovered]]/covid_data[[#This Row],[Confirmed]]</f>
        <v>0.7681882429094109</v>
      </c>
      <c r="R7" s="3">
        <f>covid_data[[#This Row],[Active]]/covid_data[[#This Row],[Confirmed]]*100</f>
        <v>12.050145516057336</v>
      </c>
      <c r="S7" s="5" t="str">
        <f>IF(covid_data[[#This Row],[New deaths]]&gt;5,"High Risk","Low Risk")</f>
        <v>High Risk</v>
      </c>
      <c r="T7" s="6">
        <f>RANK(B7,covid_data[Confirmed],0)</f>
        <v>6</v>
      </c>
      <c r="U7" s="5" t="str">
        <f>_xlfn.IFS(B7&gt;50000,"Critical",B7&gt;10000,"High",B7&gt;5000,"Moderate",B7&gt;=10,"Low")</f>
        <v>Critical</v>
      </c>
    </row>
    <row r="8" spans="1:21" x14ac:dyDescent="0.35">
      <c r="A8" s="1" t="s">
        <v>269</v>
      </c>
      <c r="B8">
        <v>389717</v>
      </c>
      <c r="C8">
        <v>18418</v>
      </c>
      <c r="D8">
        <v>272547</v>
      </c>
      <c r="E8">
        <v>98752</v>
      </c>
      <c r="F8">
        <v>13756</v>
      </c>
      <c r="G8">
        <v>575</v>
      </c>
      <c r="H8">
        <v>4697</v>
      </c>
      <c r="I8">
        <v>4.7300000000000004</v>
      </c>
      <c r="J8">
        <v>69.930000000000007</v>
      </c>
      <c r="K8" s="1" t="s">
        <v>270</v>
      </c>
      <c r="L8">
        <v>357681</v>
      </c>
      <c r="M8">
        <v>32036</v>
      </c>
      <c r="N8">
        <v>8.9600000000000009</v>
      </c>
      <c r="O8" s="1" t="s">
        <v>30</v>
      </c>
      <c r="P8" s="3">
        <f>covid_data[[#This Row],[Deaths]]/covid_data[[#This Row],[Confirmed]]*100</f>
        <v>4.7259934773181564</v>
      </c>
      <c r="Q8" s="2">
        <f>covid_data[[#This Row],[Recovered]]/covid_data[[#This Row],[Confirmed]]</f>
        <v>0.69934593564047753</v>
      </c>
      <c r="R8" s="3">
        <f>covid_data[[#This Row],[Active]]/covid_data[[#This Row],[Confirmed]]*100</f>
        <v>25.339412958634082</v>
      </c>
      <c r="S8" s="5" t="str">
        <f>IF(covid_data[[#This Row],[New deaths]]&gt;5,"High Risk","Low Risk")</f>
        <v>High Risk</v>
      </c>
      <c r="T8" s="6">
        <f>RANK(B8,covid_data[Confirmed],0)</f>
        <v>7</v>
      </c>
      <c r="U8" s="5" t="str">
        <f>_xlfn.IFS(B8&gt;50000,"Critical",B8&gt;10000,"High",B8&gt;5000,"Moderate",B8&gt;=10,"Low")</f>
        <v>Critical</v>
      </c>
    </row>
    <row r="9" spans="1:21" x14ac:dyDescent="0.35">
      <c r="A9" s="1" t="s">
        <v>90</v>
      </c>
      <c r="B9">
        <v>347923</v>
      </c>
      <c r="C9">
        <v>9187</v>
      </c>
      <c r="D9">
        <v>319954</v>
      </c>
      <c r="E9">
        <v>18782</v>
      </c>
      <c r="F9">
        <v>2133</v>
      </c>
      <c r="G9">
        <v>75</v>
      </c>
      <c r="H9">
        <v>1859</v>
      </c>
      <c r="I9">
        <v>2.64</v>
      </c>
      <c r="J9">
        <v>91.96</v>
      </c>
      <c r="K9" s="1" t="s">
        <v>91</v>
      </c>
      <c r="L9">
        <v>333029</v>
      </c>
      <c r="M9">
        <v>14894</v>
      </c>
      <c r="N9">
        <v>4.47</v>
      </c>
      <c r="O9" s="1" t="s">
        <v>30</v>
      </c>
      <c r="P9" s="3">
        <f>covid_data[[#This Row],[Deaths]]/covid_data[[#This Row],[Confirmed]]*100</f>
        <v>2.6405267832250239</v>
      </c>
      <c r="Q9" s="2">
        <f>covid_data[[#This Row],[Recovered]]/covid_data[[#This Row],[Confirmed]]</f>
        <v>0.91961152323933748</v>
      </c>
      <c r="R9" s="3">
        <f>covid_data[[#This Row],[Active]]/covid_data[[#This Row],[Confirmed]]*100</f>
        <v>5.3983208928412321</v>
      </c>
      <c r="S9" s="5" t="str">
        <f>IF(covid_data[[#This Row],[New deaths]]&gt;5,"High Risk","Low Risk")</f>
        <v>High Risk</v>
      </c>
      <c r="T9" s="6">
        <f>RANK(B9,covid_data[Confirmed],0)</f>
        <v>8</v>
      </c>
      <c r="U9" s="5" t="str">
        <f>_xlfn.IFS(B9&gt;50000,"Critical",B9&gt;10000,"High",B9&gt;5000,"Moderate",B9&gt;=10,"Low")</f>
        <v>Critical</v>
      </c>
    </row>
    <row r="10" spans="1:21" x14ac:dyDescent="0.35">
      <c r="A10" s="1" t="s">
        <v>344</v>
      </c>
      <c r="B10">
        <v>301708</v>
      </c>
      <c r="C10">
        <v>45844</v>
      </c>
      <c r="D10">
        <v>1437</v>
      </c>
      <c r="E10">
        <v>254427</v>
      </c>
      <c r="F10">
        <v>688</v>
      </c>
      <c r="G10">
        <v>7</v>
      </c>
      <c r="H10">
        <v>3</v>
      </c>
      <c r="I10">
        <v>15.19</v>
      </c>
      <c r="J10">
        <v>0.48</v>
      </c>
      <c r="K10" s="1" t="s">
        <v>345</v>
      </c>
      <c r="L10">
        <v>296944</v>
      </c>
      <c r="M10">
        <v>4764</v>
      </c>
      <c r="N10">
        <v>1.6</v>
      </c>
      <c r="O10" s="1" t="s">
        <v>20</v>
      </c>
      <c r="P10" s="3">
        <f>covid_data[[#This Row],[Deaths]]/covid_data[[#This Row],[Confirmed]]*100</f>
        <v>15.194824134593713</v>
      </c>
      <c r="Q10" s="2">
        <f>covid_data[[#This Row],[Recovered]]/covid_data[[#This Row],[Confirmed]]</f>
        <v>4.7628833176448756E-3</v>
      </c>
      <c r="R10" s="3">
        <f>covid_data[[#This Row],[Active]]/covid_data[[#This Row],[Confirmed]]*100</f>
        <v>84.32888753364179</v>
      </c>
      <c r="S10" s="5" t="str">
        <f>IF(covid_data[[#This Row],[New deaths]]&gt;5,"High Risk","Low Risk")</f>
        <v>High Risk</v>
      </c>
      <c r="T10" s="6">
        <f>RANK(B10,covid_data[Confirmed],0)</f>
        <v>9</v>
      </c>
      <c r="U10" s="5" t="str">
        <f>_xlfn.IFS(B10&gt;50000,"Critical",B10&gt;10000,"High",B10&gt;5000,"Moderate",B10&gt;=10,"Low")</f>
        <v>Critical</v>
      </c>
    </row>
    <row r="11" spans="1:21" x14ac:dyDescent="0.35">
      <c r="A11" s="1" t="s">
        <v>174</v>
      </c>
      <c r="B11">
        <v>293606</v>
      </c>
      <c r="C11">
        <v>15912</v>
      </c>
      <c r="D11">
        <v>255144</v>
      </c>
      <c r="E11">
        <v>22550</v>
      </c>
      <c r="F11">
        <v>2434</v>
      </c>
      <c r="G11">
        <v>212</v>
      </c>
      <c r="H11">
        <v>1931</v>
      </c>
      <c r="I11">
        <v>5.42</v>
      </c>
      <c r="J11">
        <v>86.9</v>
      </c>
      <c r="K11" s="1" t="s">
        <v>175</v>
      </c>
      <c r="L11">
        <v>276202</v>
      </c>
      <c r="M11">
        <v>17404</v>
      </c>
      <c r="N11">
        <v>6.3</v>
      </c>
      <c r="O11" s="1" t="s">
        <v>17</v>
      </c>
      <c r="P11" s="3">
        <f>covid_data[[#This Row],[Deaths]]/covid_data[[#This Row],[Confirmed]]*100</f>
        <v>5.4195077757266539</v>
      </c>
      <c r="Q11" s="2">
        <f>covid_data[[#This Row],[Recovered]]/covid_data[[#This Row],[Confirmed]]</f>
        <v>0.86900131468702957</v>
      </c>
      <c r="R11" s="3">
        <f>covid_data[[#This Row],[Active]]/covid_data[[#This Row],[Confirmed]]*100</f>
        <v>7.6803607555703906</v>
      </c>
      <c r="S11" s="5" t="str">
        <f>IF(covid_data[[#This Row],[New deaths]]&gt;5,"High Risk","Low Risk")</f>
        <v>High Risk</v>
      </c>
      <c r="T11" s="6">
        <f>RANK(B11,covid_data[Confirmed],0)</f>
        <v>10</v>
      </c>
      <c r="U11" s="5" t="str">
        <f>_xlfn.IFS(B11&gt;50000,"Critical",B11&gt;10000,"High",B11&gt;5000,"Moderate",B11&gt;=10,"Low")</f>
        <v>Critical</v>
      </c>
    </row>
    <row r="12" spans="1:21" x14ac:dyDescent="0.35">
      <c r="A12" s="1" t="s">
        <v>262</v>
      </c>
      <c r="B12">
        <v>274289</v>
      </c>
      <c r="C12">
        <v>5842</v>
      </c>
      <c r="D12">
        <v>241026</v>
      </c>
      <c r="E12">
        <v>27421</v>
      </c>
      <c r="F12">
        <v>1176</v>
      </c>
      <c r="G12">
        <v>20</v>
      </c>
      <c r="H12">
        <v>3592</v>
      </c>
      <c r="I12">
        <v>2.13</v>
      </c>
      <c r="J12">
        <v>87.87</v>
      </c>
      <c r="K12" s="1" t="s">
        <v>263</v>
      </c>
      <c r="L12">
        <v>266096</v>
      </c>
      <c r="M12">
        <v>8193</v>
      </c>
      <c r="N12">
        <v>3.08</v>
      </c>
      <c r="O12" s="1" t="s">
        <v>17</v>
      </c>
      <c r="P12" s="3">
        <f>covid_data[[#This Row],[Deaths]]/covid_data[[#This Row],[Confirmed]]*100</f>
        <v>2.1298703192618005</v>
      </c>
      <c r="Q12" s="2">
        <f>covid_data[[#This Row],[Recovered]]/covid_data[[#This Row],[Confirmed]]</f>
        <v>0.8787300985456945</v>
      </c>
      <c r="R12" s="3">
        <f>covid_data[[#This Row],[Active]]/covid_data[[#This Row],[Confirmed]]*100</f>
        <v>9.9971198261687491</v>
      </c>
      <c r="S12" s="5" t="str">
        <f>IF(covid_data[[#This Row],[New deaths]]&gt;5,"High Risk","Low Risk")</f>
        <v>High Risk</v>
      </c>
      <c r="T12" s="6">
        <f>RANK(B12,covid_data[Confirmed],0)</f>
        <v>11</v>
      </c>
      <c r="U12" s="5" t="str">
        <f>_xlfn.IFS(B12&gt;50000,"Critical",B12&gt;10000,"High",B12&gt;5000,"Moderate",B12&gt;=10,"Low")</f>
        <v>Critical</v>
      </c>
    </row>
    <row r="13" spans="1:21" x14ac:dyDescent="0.35">
      <c r="A13" s="1" t="s">
        <v>310</v>
      </c>
      <c r="B13">
        <v>272421</v>
      </c>
      <c r="C13">
        <v>28432</v>
      </c>
      <c r="D13">
        <v>150376</v>
      </c>
      <c r="E13">
        <v>93613</v>
      </c>
      <c r="F13">
        <v>0</v>
      </c>
      <c r="G13">
        <v>0</v>
      </c>
      <c r="H13">
        <v>0</v>
      </c>
      <c r="I13">
        <v>10.44</v>
      </c>
      <c r="J13">
        <v>55.2</v>
      </c>
      <c r="K13" s="1" t="s">
        <v>311</v>
      </c>
      <c r="L13">
        <v>264836</v>
      </c>
      <c r="M13">
        <v>7585</v>
      </c>
      <c r="N13">
        <v>2.86</v>
      </c>
      <c r="O13" s="1" t="s">
        <v>20</v>
      </c>
      <c r="P13" s="3">
        <f>covid_data[[#This Row],[Deaths]]/covid_data[[#This Row],[Confirmed]]*100</f>
        <v>10.436787178668311</v>
      </c>
      <c r="Q13" s="2">
        <f>covid_data[[#This Row],[Recovered]]/covid_data[[#This Row],[Confirmed]]</f>
        <v>0.55199856105072664</v>
      </c>
      <c r="R13" s="3">
        <f>covid_data[[#This Row],[Active]]/covid_data[[#This Row],[Confirmed]]*100</f>
        <v>34.363356716259027</v>
      </c>
      <c r="S13" s="5" t="str">
        <f>IF(covid_data[[#This Row],[New deaths]]&gt;5,"High Risk","Low Risk")</f>
        <v>Low Risk</v>
      </c>
      <c r="T13" s="6">
        <f>RANK(B13,covid_data[Confirmed],0)</f>
        <v>12</v>
      </c>
      <c r="U13" s="5" t="str">
        <f>_xlfn.IFS(B13&gt;50000,"Critical",B13&gt;10000,"High",B13&gt;5000,"Moderate",B13&gt;=10,"Low")</f>
        <v>Critical</v>
      </c>
    </row>
    <row r="14" spans="1:21" x14ac:dyDescent="0.35">
      <c r="A14" s="1" t="s">
        <v>290</v>
      </c>
      <c r="B14">
        <v>268934</v>
      </c>
      <c r="C14">
        <v>2760</v>
      </c>
      <c r="D14">
        <v>222936</v>
      </c>
      <c r="E14">
        <v>43238</v>
      </c>
      <c r="F14">
        <v>1993</v>
      </c>
      <c r="G14">
        <v>27</v>
      </c>
      <c r="H14">
        <v>2613</v>
      </c>
      <c r="I14">
        <v>1.03</v>
      </c>
      <c r="J14">
        <v>82.9</v>
      </c>
      <c r="K14" s="1" t="s">
        <v>291</v>
      </c>
      <c r="L14">
        <v>253349</v>
      </c>
      <c r="M14">
        <v>15585</v>
      </c>
      <c r="N14">
        <v>6.15</v>
      </c>
      <c r="O14" s="1" t="s">
        <v>17</v>
      </c>
      <c r="P14" s="3">
        <f>covid_data[[#This Row],[Deaths]]/covid_data[[#This Row],[Confirmed]]*100</f>
        <v>1.0262741044271086</v>
      </c>
      <c r="Q14" s="2">
        <f>covid_data[[#This Row],[Recovered]]/covid_data[[#This Row],[Confirmed]]</f>
        <v>0.8289617526976879</v>
      </c>
      <c r="R14" s="3">
        <f>covid_data[[#This Row],[Active]]/covid_data[[#This Row],[Confirmed]]*100</f>
        <v>16.077550625804101</v>
      </c>
      <c r="S14" s="5" t="str">
        <f>IF(covid_data[[#This Row],[New deaths]]&gt;5,"High Risk","Low Risk")</f>
        <v>High Risk</v>
      </c>
      <c r="T14" s="6">
        <f>RANK(B14,covid_data[Confirmed],0)</f>
        <v>13</v>
      </c>
      <c r="U14" s="5" t="str">
        <f>_xlfn.IFS(B14&gt;50000,"Critical",B14&gt;10000,"High",B14&gt;5000,"Moderate",B14&gt;=10,"Low")</f>
        <v>Critical</v>
      </c>
    </row>
    <row r="15" spans="1:21" x14ac:dyDescent="0.35">
      <c r="A15" s="1" t="s">
        <v>94</v>
      </c>
      <c r="B15">
        <v>257101</v>
      </c>
      <c r="C15">
        <v>8777</v>
      </c>
      <c r="D15">
        <v>131161</v>
      </c>
      <c r="E15">
        <v>117163</v>
      </c>
      <c r="F15">
        <v>16306</v>
      </c>
      <c r="G15">
        <v>508</v>
      </c>
      <c r="H15">
        <v>11494</v>
      </c>
      <c r="I15">
        <v>3.41</v>
      </c>
      <c r="J15">
        <v>51.02</v>
      </c>
      <c r="K15" s="1" t="s">
        <v>95</v>
      </c>
      <c r="L15">
        <v>204005</v>
      </c>
      <c r="M15">
        <v>53096</v>
      </c>
      <c r="N15">
        <v>26.03</v>
      </c>
      <c r="O15" s="1" t="s">
        <v>30</v>
      </c>
      <c r="P15" s="3">
        <f>covid_data[[#This Row],[Deaths]]/covid_data[[#This Row],[Confirmed]]*100</f>
        <v>3.4138334740043796</v>
      </c>
      <c r="Q15" s="2">
        <f>covid_data[[#This Row],[Recovered]]/covid_data[[#This Row],[Confirmed]]</f>
        <v>0.51015359722443709</v>
      </c>
      <c r="R15" s="3">
        <f>covid_data[[#This Row],[Active]]/covid_data[[#This Row],[Confirmed]]*100</f>
        <v>45.57080680355191</v>
      </c>
      <c r="S15" s="5" t="str">
        <f>IF(covid_data[[#This Row],[New deaths]]&gt;5,"High Risk","Low Risk")</f>
        <v>High Risk</v>
      </c>
      <c r="T15" s="6">
        <f>RANK(B15,covid_data[Confirmed],0)</f>
        <v>14</v>
      </c>
      <c r="U15" s="5" t="str">
        <f>_xlfn.IFS(B15&gt;50000,"Critical",B15&gt;10000,"High",B15&gt;5000,"Moderate",B15&gt;=10,"Low")</f>
        <v>Critical</v>
      </c>
    </row>
    <row r="16" spans="1:21" x14ac:dyDescent="0.35">
      <c r="A16" s="1" t="s">
        <v>182</v>
      </c>
      <c r="B16">
        <v>246286</v>
      </c>
      <c r="C16">
        <v>35112</v>
      </c>
      <c r="D16">
        <v>198593</v>
      </c>
      <c r="E16">
        <v>12581</v>
      </c>
      <c r="F16">
        <v>168</v>
      </c>
      <c r="G16">
        <v>5</v>
      </c>
      <c r="H16">
        <v>147</v>
      </c>
      <c r="I16">
        <v>14.26</v>
      </c>
      <c r="J16">
        <v>80.64</v>
      </c>
      <c r="K16" s="1" t="s">
        <v>183</v>
      </c>
      <c r="L16">
        <v>244624</v>
      </c>
      <c r="M16">
        <v>1662</v>
      </c>
      <c r="N16">
        <v>0.68</v>
      </c>
      <c r="O16" s="1" t="s">
        <v>20</v>
      </c>
      <c r="P16" s="3">
        <f>covid_data[[#This Row],[Deaths]]/covid_data[[#This Row],[Confirmed]]*100</f>
        <v>14.256595990027854</v>
      </c>
      <c r="Q16" s="2">
        <f>covid_data[[#This Row],[Recovered]]/covid_data[[#This Row],[Confirmed]]</f>
        <v>0.80635115272488078</v>
      </c>
      <c r="R16" s="3">
        <f>covid_data[[#This Row],[Active]]/covid_data[[#This Row],[Confirmed]]*100</f>
        <v>5.1082887374840631</v>
      </c>
      <c r="S16" s="5" t="str">
        <f>IF(covid_data[[#This Row],[New deaths]]&gt;5,"High Risk","Low Risk")</f>
        <v>Low Risk</v>
      </c>
      <c r="T16" s="6">
        <f>RANK(B16,covid_data[Confirmed],0)</f>
        <v>15</v>
      </c>
      <c r="U16" s="5" t="str">
        <f>_xlfn.IFS(B16&gt;50000,"Critical",B16&gt;10000,"High",B16&gt;5000,"Moderate",B16&gt;=10,"Low")</f>
        <v>Critical</v>
      </c>
    </row>
    <row r="17" spans="1:21" x14ac:dyDescent="0.35">
      <c r="A17" s="1" t="s">
        <v>335</v>
      </c>
      <c r="B17">
        <v>227019</v>
      </c>
      <c r="C17">
        <v>5630</v>
      </c>
      <c r="D17">
        <v>210469</v>
      </c>
      <c r="E17">
        <v>10920</v>
      </c>
      <c r="F17">
        <v>919</v>
      </c>
      <c r="G17">
        <v>17</v>
      </c>
      <c r="H17">
        <v>982</v>
      </c>
      <c r="I17">
        <v>2.48</v>
      </c>
      <c r="J17">
        <v>92.71</v>
      </c>
      <c r="K17" s="1" t="s">
        <v>34</v>
      </c>
      <c r="L17">
        <v>220572</v>
      </c>
      <c r="M17">
        <v>6447</v>
      </c>
      <c r="N17">
        <v>2.92</v>
      </c>
      <c r="O17" s="1" t="s">
        <v>20</v>
      </c>
      <c r="P17" s="3">
        <f>covid_data[[#This Row],[Deaths]]/covid_data[[#This Row],[Confirmed]]*100</f>
        <v>2.4799686369863316</v>
      </c>
      <c r="Q17" s="2">
        <f>covid_data[[#This Row],[Recovered]]/covid_data[[#This Row],[Confirmed]]</f>
        <v>0.92709861289143203</v>
      </c>
      <c r="R17" s="3">
        <f>covid_data[[#This Row],[Active]]/covid_data[[#This Row],[Confirmed]]*100</f>
        <v>4.8101700738704691</v>
      </c>
      <c r="S17" s="5" t="str">
        <f>IF(covid_data[[#This Row],[New deaths]]&gt;5,"High Risk","Low Risk")</f>
        <v>High Risk</v>
      </c>
      <c r="T17" s="6">
        <f>RANK(B17,covid_data[Confirmed],0)</f>
        <v>16</v>
      </c>
      <c r="U17" s="5" t="str">
        <f>_xlfn.IFS(B17&gt;50000,"Critical",B17&gt;10000,"High",B17&gt;5000,"Moderate",B17&gt;=10,"Low")</f>
        <v>Critical</v>
      </c>
    </row>
    <row r="18" spans="1:21" x14ac:dyDescent="0.35">
      <c r="A18" s="1" t="s">
        <v>46</v>
      </c>
      <c r="B18">
        <v>226225</v>
      </c>
      <c r="C18">
        <v>2965</v>
      </c>
      <c r="D18">
        <v>125683</v>
      </c>
      <c r="E18">
        <v>97577</v>
      </c>
      <c r="F18">
        <v>2772</v>
      </c>
      <c r="G18">
        <v>37</v>
      </c>
      <c r="H18">
        <v>1801</v>
      </c>
      <c r="I18">
        <v>1.31</v>
      </c>
      <c r="J18">
        <v>55.56</v>
      </c>
      <c r="K18" s="1" t="s">
        <v>47</v>
      </c>
      <c r="L18">
        <v>207453</v>
      </c>
      <c r="M18">
        <v>18772</v>
      </c>
      <c r="N18">
        <v>9.0500000000000007</v>
      </c>
      <c r="O18" s="1" t="s">
        <v>48</v>
      </c>
      <c r="P18" s="3">
        <f>covid_data[[#This Row],[Deaths]]/covid_data[[#This Row],[Confirmed]]*100</f>
        <v>1.310642059896121</v>
      </c>
      <c r="Q18" s="2">
        <f>covid_data[[#This Row],[Recovered]]/covid_data[[#This Row],[Confirmed]]</f>
        <v>0.55556636092385903</v>
      </c>
      <c r="R18" s="3">
        <f>covid_data[[#This Row],[Active]]/covid_data[[#This Row],[Confirmed]]*100</f>
        <v>43.132721847717981</v>
      </c>
      <c r="S18" s="5" t="str">
        <f>IF(covid_data[[#This Row],[New deaths]]&gt;5,"High Risk","Low Risk")</f>
        <v>High Risk</v>
      </c>
      <c r="T18" s="6">
        <f>RANK(B18,covid_data[Confirmed],0)</f>
        <v>17</v>
      </c>
      <c r="U18" s="5" t="str">
        <f>_xlfn.IFS(B18&gt;50000,"Critical",B18&gt;10000,"High",B18&gt;5000,"Moderate",B18&gt;=10,"Low")</f>
        <v>Critical</v>
      </c>
    </row>
    <row r="19" spans="1:21" x14ac:dyDescent="0.35">
      <c r="A19" s="1" t="s">
        <v>137</v>
      </c>
      <c r="B19">
        <v>220352</v>
      </c>
      <c r="C19">
        <v>30212</v>
      </c>
      <c r="D19">
        <v>81212</v>
      </c>
      <c r="E19">
        <v>108928</v>
      </c>
      <c r="F19">
        <v>2551</v>
      </c>
      <c r="G19">
        <v>17</v>
      </c>
      <c r="H19">
        <v>267</v>
      </c>
      <c r="I19">
        <v>13.71</v>
      </c>
      <c r="J19">
        <v>36.86</v>
      </c>
      <c r="K19" s="1" t="s">
        <v>138</v>
      </c>
      <c r="L19">
        <v>214023</v>
      </c>
      <c r="M19">
        <v>6329</v>
      </c>
      <c r="N19">
        <v>2.96</v>
      </c>
      <c r="O19" s="1" t="s">
        <v>20</v>
      </c>
      <c r="P19" s="3">
        <f>covid_data[[#This Row],[Deaths]]/covid_data[[#This Row],[Confirmed]]*100</f>
        <v>13.71079000871333</v>
      </c>
      <c r="Q19" s="2">
        <f>covid_data[[#This Row],[Recovered]]/covid_data[[#This Row],[Confirmed]]</f>
        <v>0.36855576532094103</v>
      </c>
      <c r="R19" s="3">
        <f>covid_data[[#This Row],[Active]]/covid_data[[#This Row],[Confirmed]]*100</f>
        <v>49.433633459192563</v>
      </c>
      <c r="S19" s="5" t="str">
        <f>IF(covid_data[[#This Row],[New deaths]]&gt;5,"High Risk","Low Risk")</f>
        <v>High Risk</v>
      </c>
      <c r="T19" s="6">
        <f>RANK(B19,covid_data[Confirmed],0)</f>
        <v>18</v>
      </c>
      <c r="U19" s="5" t="str">
        <f>_xlfn.IFS(B19&gt;50000,"Critical",B19&gt;10000,"High",B19&gt;5000,"Moderate",B19&gt;=10,"Low")</f>
        <v>Critical</v>
      </c>
    </row>
    <row r="20" spans="1:21" x14ac:dyDescent="0.35">
      <c r="A20" s="1" t="s">
        <v>145</v>
      </c>
      <c r="B20">
        <v>207112</v>
      </c>
      <c r="C20">
        <v>9125</v>
      </c>
      <c r="D20">
        <v>190314</v>
      </c>
      <c r="E20">
        <v>7673</v>
      </c>
      <c r="F20">
        <v>445</v>
      </c>
      <c r="G20">
        <v>1</v>
      </c>
      <c r="H20">
        <v>259</v>
      </c>
      <c r="I20">
        <v>4.41</v>
      </c>
      <c r="J20">
        <v>91.89</v>
      </c>
      <c r="K20" s="1" t="s">
        <v>146</v>
      </c>
      <c r="L20">
        <v>203325</v>
      </c>
      <c r="M20">
        <v>3787</v>
      </c>
      <c r="N20">
        <v>1.86</v>
      </c>
      <c r="O20" s="1" t="s">
        <v>20</v>
      </c>
      <c r="P20" s="3">
        <f>covid_data[[#This Row],[Deaths]]/covid_data[[#This Row],[Confirmed]]*100</f>
        <v>4.4058287303487962</v>
      </c>
      <c r="Q20" s="2">
        <f>covid_data[[#This Row],[Recovered]]/covid_data[[#This Row],[Confirmed]]</f>
        <v>0.91889412491791878</v>
      </c>
      <c r="R20" s="3">
        <f>covid_data[[#This Row],[Active]]/covid_data[[#This Row],[Confirmed]]*100</f>
        <v>3.7047587778593223</v>
      </c>
      <c r="S20" s="5" t="str">
        <f>IF(covid_data[[#This Row],[New deaths]]&gt;5,"High Risk","Low Risk")</f>
        <v>Low Risk</v>
      </c>
      <c r="T20" s="6">
        <f>RANK(B20,covid_data[Confirmed],0)</f>
        <v>19</v>
      </c>
      <c r="U20" s="5" t="str">
        <f>_xlfn.IFS(B20&gt;50000,"Critical",B20&gt;10000,"High",B20&gt;5000,"Moderate",B20&gt;=10,"Low")</f>
        <v>Critical</v>
      </c>
    </row>
    <row r="21" spans="1:21" x14ac:dyDescent="0.35">
      <c r="A21" s="1" t="s">
        <v>31</v>
      </c>
      <c r="B21">
        <v>167416</v>
      </c>
      <c r="C21">
        <v>3059</v>
      </c>
      <c r="D21">
        <v>72575</v>
      </c>
      <c r="E21">
        <v>91782</v>
      </c>
      <c r="F21">
        <v>4890</v>
      </c>
      <c r="G21">
        <v>120</v>
      </c>
      <c r="H21">
        <v>2057</v>
      </c>
      <c r="I21">
        <v>1.83</v>
      </c>
      <c r="J21">
        <v>43.35</v>
      </c>
      <c r="K21" s="1" t="s">
        <v>32</v>
      </c>
      <c r="L21">
        <v>130774</v>
      </c>
      <c r="M21">
        <v>36642</v>
      </c>
      <c r="N21">
        <v>28.02</v>
      </c>
      <c r="O21" s="1" t="s">
        <v>30</v>
      </c>
      <c r="P21" s="3">
        <f>covid_data[[#This Row],[Deaths]]/covid_data[[#This Row],[Confirmed]]*100</f>
        <v>1.827184976346347</v>
      </c>
      <c r="Q21" s="2">
        <f>covid_data[[#This Row],[Recovered]]/covid_data[[#This Row],[Confirmed]]</f>
        <v>0.43350097959573758</v>
      </c>
      <c r="R21" s="3">
        <f>covid_data[[#This Row],[Active]]/covid_data[[#This Row],[Confirmed]]*100</f>
        <v>54.822717064079896</v>
      </c>
      <c r="S21" s="5" t="str">
        <f>IF(covid_data[[#This Row],[New deaths]]&gt;5,"High Risk","Low Risk")</f>
        <v>High Risk</v>
      </c>
      <c r="T21" s="6">
        <f>RANK(B21,covid_data[Confirmed],0)</f>
        <v>20</v>
      </c>
      <c r="U21" s="5" t="str">
        <f>_xlfn.IFS(B21&gt;50000,"Critical",B21&gt;10000,"High",B21&gt;5000,"Moderate",B21&gt;=10,"Low")</f>
        <v>Critical</v>
      </c>
    </row>
    <row r="22" spans="1:21" x14ac:dyDescent="0.35">
      <c r="A22" s="1" t="s">
        <v>84</v>
      </c>
      <c r="B22">
        <v>116458</v>
      </c>
      <c r="C22">
        <v>8944</v>
      </c>
      <c r="D22">
        <v>0</v>
      </c>
      <c r="E22">
        <v>107514</v>
      </c>
      <c r="F22">
        <v>682</v>
      </c>
      <c r="G22">
        <v>11</v>
      </c>
      <c r="H22">
        <v>0</v>
      </c>
      <c r="I22">
        <v>7.68</v>
      </c>
      <c r="J22">
        <v>0</v>
      </c>
      <c r="K22" s="1" t="s">
        <v>85</v>
      </c>
      <c r="L22">
        <v>112925</v>
      </c>
      <c r="M22">
        <v>3533</v>
      </c>
      <c r="N22">
        <v>3.13</v>
      </c>
      <c r="O22" s="1" t="s">
        <v>30</v>
      </c>
      <c r="P22" s="3">
        <f>covid_data[[#This Row],[Deaths]]/covid_data[[#This Row],[Confirmed]]*100</f>
        <v>7.6800219821738303</v>
      </c>
      <c r="Q22" s="2">
        <f>covid_data[[#This Row],[Recovered]]/covid_data[[#This Row],[Confirmed]]</f>
        <v>0</v>
      </c>
      <c r="R22" s="3">
        <f>covid_data[[#This Row],[Active]]/covid_data[[#This Row],[Confirmed]]*100</f>
        <v>92.319978017826159</v>
      </c>
      <c r="S22" s="5" t="str">
        <f>IF(covid_data[[#This Row],[New deaths]]&gt;5,"High Risk","Low Risk")</f>
        <v>High Risk</v>
      </c>
      <c r="T22" s="6">
        <f>RANK(B22,covid_data[Confirmed],0)</f>
        <v>21</v>
      </c>
      <c r="U22" s="5" t="str">
        <f>_xlfn.IFS(B22&gt;50000,"Critical",B22&gt;10000,"High",B22&gt;5000,"Moderate",B22&gt;=10,"Low")</f>
        <v>Critical</v>
      </c>
    </row>
    <row r="23" spans="1:21" x14ac:dyDescent="0.35">
      <c r="A23" s="1" t="s">
        <v>176</v>
      </c>
      <c r="B23">
        <v>112585</v>
      </c>
      <c r="C23">
        <v>4458</v>
      </c>
      <c r="D23">
        <v>77144</v>
      </c>
      <c r="E23">
        <v>30983</v>
      </c>
      <c r="F23">
        <v>2553</v>
      </c>
      <c r="G23">
        <v>96</v>
      </c>
      <c r="H23">
        <v>1927</v>
      </c>
      <c r="I23">
        <v>3.96</v>
      </c>
      <c r="J23">
        <v>68.52</v>
      </c>
      <c r="K23" s="1" t="s">
        <v>177</v>
      </c>
      <c r="L23">
        <v>94693</v>
      </c>
      <c r="M23">
        <v>17892</v>
      </c>
      <c r="N23">
        <v>18.89</v>
      </c>
      <c r="O23" s="1" t="s">
        <v>17</v>
      </c>
      <c r="P23" s="3">
        <f>covid_data[[#This Row],[Deaths]]/covid_data[[#This Row],[Confirmed]]*100</f>
        <v>3.9596749122884933</v>
      </c>
      <c r="Q23" s="2">
        <f>covid_data[[#This Row],[Recovered]]/covid_data[[#This Row],[Confirmed]]</f>
        <v>0.68520673269085575</v>
      </c>
      <c r="R23" s="3">
        <f>covid_data[[#This Row],[Active]]/covid_data[[#This Row],[Confirmed]]*100</f>
        <v>27.519651818625928</v>
      </c>
      <c r="S23" s="5" t="str">
        <f>IF(covid_data[[#This Row],[New deaths]]&gt;5,"High Risk","Low Risk")</f>
        <v>High Risk</v>
      </c>
      <c r="T23" s="6">
        <f>RANK(B23,covid_data[Confirmed],0)</f>
        <v>22</v>
      </c>
      <c r="U23" s="5" t="str">
        <f>_xlfn.IFS(B23&gt;50000,"Critical",B23&gt;10000,"High",B23&gt;5000,"Moderate",B23&gt;=10,"Low")</f>
        <v>Critical</v>
      </c>
    </row>
    <row r="24" spans="1:21" x14ac:dyDescent="0.35">
      <c r="A24" s="1" t="s">
        <v>276</v>
      </c>
      <c r="B24">
        <v>109597</v>
      </c>
      <c r="C24">
        <v>165</v>
      </c>
      <c r="D24">
        <v>106328</v>
      </c>
      <c r="E24">
        <v>3104</v>
      </c>
      <c r="F24">
        <v>292</v>
      </c>
      <c r="G24">
        <v>0</v>
      </c>
      <c r="H24">
        <v>304</v>
      </c>
      <c r="I24">
        <v>0.15</v>
      </c>
      <c r="J24">
        <v>97.02</v>
      </c>
      <c r="K24" s="1" t="s">
        <v>277</v>
      </c>
      <c r="L24">
        <v>107037</v>
      </c>
      <c r="M24">
        <v>2560</v>
      </c>
      <c r="N24">
        <v>2.39</v>
      </c>
      <c r="O24" s="1" t="s">
        <v>17</v>
      </c>
      <c r="P24" s="3">
        <f>covid_data[[#This Row],[Deaths]]/covid_data[[#This Row],[Confirmed]]*100</f>
        <v>0.15055156619250529</v>
      </c>
      <c r="Q24" s="2">
        <f>covid_data[[#This Row],[Recovered]]/covid_data[[#This Row],[Confirmed]]</f>
        <v>0.97017254121919394</v>
      </c>
      <c r="R24" s="3">
        <f>covid_data[[#This Row],[Active]]/covid_data[[#This Row],[Confirmed]]*100</f>
        <v>2.8321943118880992</v>
      </c>
      <c r="S24" s="5" t="str">
        <f>IF(covid_data[[#This Row],[New deaths]]&gt;5,"High Risk","Low Risk")</f>
        <v>Low Risk</v>
      </c>
      <c r="T24" s="6">
        <f>RANK(B24,covid_data[Confirmed],0)</f>
        <v>23</v>
      </c>
      <c r="U24" s="5" t="str">
        <f>_xlfn.IFS(B24&gt;50000,"Critical",B24&gt;10000,"High",B24&gt;5000,"Moderate",B24&gt;=10,"Low")</f>
        <v>Critical</v>
      </c>
    </row>
    <row r="25" spans="1:21" x14ac:dyDescent="0.35">
      <c r="A25" s="1" t="s">
        <v>172</v>
      </c>
      <c r="B25">
        <v>100303</v>
      </c>
      <c r="C25">
        <v>4838</v>
      </c>
      <c r="D25">
        <v>58173</v>
      </c>
      <c r="E25">
        <v>37292</v>
      </c>
      <c r="F25">
        <v>1525</v>
      </c>
      <c r="G25">
        <v>57</v>
      </c>
      <c r="H25">
        <v>1518</v>
      </c>
      <c r="I25">
        <v>4.82</v>
      </c>
      <c r="J25">
        <v>58</v>
      </c>
      <c r="K25" s="1" t="s">
        <v>173</v>
      </c>
      <c r="L25">
        <v>88214</v>
      </c>
      <c r="M25">
        <v>12089</v>
      </c>
      <c r="N25">
        <v>13.7</v>
      </c>
      <c r="O25" s="1" t="s">
        <v>48</v>
      </c>
      <c r="P25" s="3">
        <f>covid_data[[#This Row],[Deaths]]/covid_data[[#This Row],[Confirmed]]*100</f>
        <v>4.8233851430166599</v>
      </c>
      <c r="Q25" s="2">
        <f>covid_data[[#This Row],[Recovered]]/covid_data[[#This Row],[Confirmed]]</f>
        <v>0.57997268277120329</v>
      </c>
      <c r="R25" s="3">
        <f>covid_data[[#This Row],[Active]]/covid_data[[#This Row],[Confirmed]]*100</f>
        <v>37.179346579863015</v>
      </c>
      <c r="S25" s="5" t="str">
        <f>IF(covid_data[[#This Row],[New deaths]]&gt;5,"High Risk","Low Risk")</f>
        <v>High Risk</v>
      </c>
      <c r="T25" s="6">
        <f>RANK(B25,covid_data[Confirmed],0)</f>
        <v>24</v>
      </c>
      <c r="U25" s="5" t="str">
        <f>_xlfn.IFS(B25&gt;50000,"Critical",B25&gt;10000,"High",B25&gt;5000,"Moderate",B25&gt;=10,"Low")</f>
        <v>Critical</v>
      </c>
    </row>
    <row r="26" spans="1:21" x14ac:dyDescent="0.35">
      <c r="A26" s="1" t="s">
        <v>123</v>
      </c>
      <c r="B26">
        <v>92482</v>
      </c>
      <c r="C26">
        <v>4652</v>
      </c>
      <c r="D26">
        <v>34838</v>
      </c>
      <c r="E26">
        <v>52992</v>
      </c>
      <c r="F26">
        <v>420</v>
      </c>
      <c r="G26">
        <v>46</v>
      </c>
      <c r="H26">
        <v>1007</v>
      </c>
      <c r="I26">
        <v>5.03</v>
      </c>
      <c r="J26">
        <v>37.67</v>
      </c>
      <c r="K26" s="1" t="s">
        <v>124</v>
      </c>
      <c r="L26">
        <v>88402</v>
      </c>
      <c r="M26">
        <v>4080</v>
      </c>
      <c r="N26">
        <v>4.62</v>
      </c>
      <c r="O26" s="1" t="s">
        <v>17</v>
      </c>
      <c r="P26" s="3">
        <f>covid_data[[#This Row],[Deaths]]/covid_data[[#This Row],[Confirmed]]*100</f>
        <v>5.0301680326982545</v>
      </c>
      <c r="Q26" s="2">
        <f>covid_data[[#This Row],[Recovered]]/covid_data[[#This Row],[Confirmed]]</f>
        <v>0.37670033087519733</v>
      </c>
      <c r="R26" s="3">
        <f>covid_data[[#This Row],[Active]]/covid_data[[#This Row],[Confirmed]]*100</f>
        <v>57.299798879782017</v>
      </c>
      <c r="S26" s="5" t="str">
        <f>IF(covid_data[[#This Row],[New deaths]]&gt;5,"High Risk","Low Risk")</f>
        <v>High Risk</v>
      </c>
      <c r="T26" s="6">
        <f>RANK(B26,covid_data[Confirmed],0)</f>
        <v>25</v>
      </c>
      <c r="U26" s="5" t="str">
        <f>_xlfn.IFS(B26&gt;50000,"Critical",B26&gt;10000,"High",B26&gt;5000,"Moderate",B26&gt;=10,"Low")</f>
        <v>Critical</v>
      </c>
    </row>
    <row r="27" spans="1:21" x14ac:dyDescent="0.35">
      <c r="A27" s="1" t="s">
        <v>92</v>
      </c>
      <c r="B27">
        <v>86783</v>
      </c>
      <c r="C27">
        <v>4656</v>
      </c>
      <c r="D27">
        <v>78869</v>
      </c>
      <c r="E27">
        <v>3258</v>
      </c>
      <c r="F27">
        <v>213</v>
      </c>
      <c r="G27">
        <v>4</v>
      </c>
      <c r="H27">
        <v>7</v>
      </c>
      <c r="I27">
        <v>5.37</v>
      </c>
      <c r="J27">
        <v>90.88</v>
      </c>
      <c r="K27" s="1" t="s">
        <v>93</v>
      </c>
      <c r="L27">
        <v>85622</v>
      </c>
      <c r="M27">
        <v>1161</v>
      </c>
      <c r="N27">
        <v>1.36</v>
      </c>
      <c r="O27" s="1" t="s">
        <v>37</v>
      </c>
      <c r="P27" s="3">
        <f>covid_data[[#This Row],[Deaths]]/covid_data[[#This Row],[Confirmed]]*100</f>
        <v>5.3651060691610111</v>
      </c>
      <c r="Q27" s="2">
        <f>covid_data[[#This Row],[Recovered]]/covid_data[[#This Row],[Confirmed]]</f>
        <v>0.90880702441722461</v>
      </c>
      <c r="R27" s="3">
        <f>covid_data[[#This Row],[Active]]/covid_data[[#This Row],[Confirmed]]*100</f>
        <v>3.7541914891165318</v>
      </c>
      <c r="S27" s="5" t="str">
        <f>IF(covid_data[[#This Row],[New deaths]]&gt;5,"High Risk","Low Risk")</f>
        <v>Low Risk</v>
      </c>
      <c r="T27" s="6">
        <f>RANK(B27,covid_data[Confirmed],0)</f>
        <v>26</v>
      </c>
      <c r="U27" s="5" t="str">
        <f>_xlfn.IFS(B27&gt;50000,"Critical",B27&gt;10000,"High",B27&gt;5000,"Moderate",B27&gt;=10,"Low")</f>
        <v>Critical</v>
      </c>
    </row>
    <row r="28" spans="1:21" x14ac:dyDescent="0.35">
      <c r="A28" s="1" t="s">
        <v>190</v>
      </c>
      <c r="B28">
        <v>84648</v>
      </c>
      <c r="C28">
        <v>585</v>
      </c>
      <c r="D28">
        <v>54404</v>
      </c>
      <c r="E28">
        <v>29659</v>
      </c>
      <c r="F28">
        <v>1526</v>
      </c>
      <c r="G28">
        <v>0</v>
      </c>
      <c r="H28">
        <v>1833</v>
      </c>
      <c r="I28">
        <v>0.69</v>
      </c>
      <c r="J28">
        <v>64.27</v>
      </c>
      <c r="K28" s="1" t="s">
        <v>191</v>
      </c>
      <c r="L28">
        <v>73468</v>
      </c>
      <c r="M28">
        <v>11180</v>
      </c>
      <c r="N28">
        <v>15.22</v>
      </c>
      <c r="O28" s="1" t="s">
        <v>20</v>
      </c>
      <c r="P28" s="3">
        <f>covid_data[[#This Row],[Deaths]]/covid_data[[#This Row],[Confirmed]]*100</f>
        <v>0.69109724978735465</v>
      </c>
      <c r="Q28" s="2">
        <f>covid_data[[#This Row],[Recovered]]/covid_data[[#This Row],[Confirmed]]</f>
        <v>0.64270862867403833</v>
      </c>
      <c r="R28" s="3">
        <f>covid_data[[#This Row],[Active]]/covid_data[[#This Row],[Confirmed]]*100</f>
        <v>35.03803988280881</v>
      </c>
      <c r="S28" s="5" t="str">
        <f>IF(covid_data[[#This Row],[New deaths]]&gt;5,"High Risk","Low Risk")</f>
        <v>Low Risk</v>
      </c>
      <c r="T28" s="6">
        <f>RANK(B28,covid_data[Confirmed],0)</f>
        <v>27</v>
      </c>
      <c r="U28" s="5" t="str">
        <f>_xlfn.IFS(B28&gt;50000,"Critical",B28&gt;10000,"High",B28&gt;5000,"Moderate",B28&gt;=10,"Low")</f>
        <v>Critical</v>
      </c>
    </row>
    <row r="29" spans="1:21" x14ac:dyDescent="0.35">
      <c r="A29" s="1" t="s">
        <v>271</v>
      </c>
      <c r="B29">
        <v>82040</v>
      </c>
      <c r="C29">
        <v>1945</v>
      </c>
      <c r="D29">
        <v>26446</v>
      </c>
      <c r="E29">
        <v>53649</v>
      </c>
      <c r="F29">
        <v>1592</v>
      </c>
      <c r="G29">
        <v>13</v>
      </c>
      <c r="H29">
        <v>336</v>
      </c>
      <c r="I29">
        <v>2.37</v>
      </c>
      <c r="J29">
        <v>32.24</v>
      </c>
      <c r="K29" s="1" t="s">
        <v>272</v>
      </c>
      <c r="L29">
        <v>68898</v>
      </c>
      <c r="M29">
        <v>13142</v>
      </c>
      <c r="N29">
        <v>19.07</v>
      </c>
      <c r="O29" s="1" t="s">
        <v>37</v>
      </c>
      <c r="P29" s="3">
        <f>covid_data[[#This Row],[Deaths]]/covid_data[[#This Row],[Confirmed]]*100</f>
        <v>2.3707947342759628</v>
      </c>
      <c r="Q29" s="2">
        <f>covid_data[[#This Row],[Recovered]]/covid_data[[#This Row],[Confirmed]]</f>
        <v>0.32235494880546073</v>
      </c>
      <c r="R29" s="3">
        <f>covid_data[[#This Row],[Active]]/covid_data[[#This Row],[Confirmed]]*100</f>
        <v>65.393710385177968</v>
      </c>
      <c r="S29" s="5" t="str">
        <f>IF(covid_data[[#This Row],[New deaths]]&gt;5,"High Risk","Low Risk")</f>
        <v>High Risk</v>
      </c>
      <c r="T29" s="6">
        <f>RANK(B29,covid_data[Confirmed],0)</f>
        <v>28</v>
      </c>
      <c r="U29" s="5" t="str">
        <f>_xlfn.IFS(B29&gt;50000,"Critical",B29&gt;10000,"High",B29&gt;5000,"Moderate",B29&gt;=10,"Low")</f>
        <v>Critical</v>
      </c>
    </row>
    <row r="30" spans="1:21" x14ac:dyDescent="0.35">
      <c r="A30" s="1" t="s">
        <v>121</v>
      </c>
      <c r="B30">
        <v>81161</v>
      </c>
      <c r="C30">
        <v>5532</v>
      </c>
      <c r="D30">
        <v>34896</v>
      </c>
      <c r="E30">
        <v>40733</v>
      </c>
      <c r="F30">
        <v>467</v>
      </c>
      <c r="G30">
        <v>17</v>
      </c>
      <c r="H30">
        <v>0</v>
      </c>
      <c r="I30">
        <v>6.82</v>
      </c>
      <c r="J30">
        <v>43</v>
      </c>
      <c r="K30" s="1" t="s">
        <v>122</v>
      </c>
      <c r="L30">
        <v>74620</v>
      </c>
      <c r="M30">
        <v>6541</v>
      </c>
      <c r="N30">
        <v>8.77</v>
      </c>
      <c r="O30" s="1" t="s">
        <v>30</v>
      </c>
      <c r="P30" s="3">
        <f>covid_data[[#This Row],[Deaths]]/covid_data[[#This Row],[Confirmed]]*100</f>
        <v>6.8160816155542685</v>
      </c>
      <c r="Q30" s="2">
        <f>covid_data[[#This Row],[Recovered]]/covid_data[[#This Row],[Confirmed]]</f>
        <v>0.42996020256034301</v>
      </c>
      <c r="R30" s="3">
        <f>covid_data[[#This Row],[Active]]/covid_data[[#This Row],[Confirmed]]*100</f>
        <v>50.187898128411433</v>
      </c>
      <c r="S30" s="5" t="str">
        <f>IF(covid_data[[#This Row],[New deaths]]&gt;5,"High Risk","Low Risk")</f>
        <v>High Risk</v>
      </c>
      <c r="T30" s="6">
        <f>RANK(B30,covid_data[Confirmed],0)</f>
        <v>29</v>
      </c>
      <c r="U30" s="5" t="str">
        <f>_xlfn.IFS(B30&gt;50000,"Critical",B30&gt;10000,"High",B30&gt;5000,"Moderate",B30&gt;=10,"Low")</f>
        <v>Critical</v>
      </c>
    </row>
    <row r="31" spans="1:21" x14ac:dyDescent="0.35">
      <c r="A31" s="1" t="s">
        <v>317</v>
      </c>
      <c r="B31">
        <v>79395</v>
      </c>
      <c r="C31">
        <v>5700</v>
      </c>
      <c r="D31">
        <v>0</v>
      </c>
      <c r="E31">
        <v>73695</v>
      </c>
      <c r="F31">
        <v>398</v>
      </c>
      <c r="G31">
        <v>3</v>
      </c>
      <c r="H31">
        <v>0</v>
      </c>
      <c r="I31">
        <v>7.18</v>
      </c>
      <c r="J31">
        <v>0</v>
      </c>
      <c r="K31" s="1" t="s">
        <v>85</v>
      </c>
      <c r="L31">
        <v>78048</v>
      </c>
      <c r="M31">
        <v>1347</v>
      </c>
      <c r="N31">
        <v>1.73</v>
      </c>
      <c r="O31" s="1" t="s">
        <v>20</v>
      </c>
      <c r="P31" s="3">
        <f>covid_data[[#This Row],[Deaths]]/covid_data[[#This Row],[Confirmed]]*100</f>
        <v>7.1792934063857921</v>
      </c>
      <c r="Q31" s="2">
        <f>covid_data[[#This Row],[Recovered]]/covid_data[[#This Row],[Confirmed]]</f>
        <v>0</v>
      </c>
      <c r="R31" s="3">
        <f>covid_data[[#This Row],[Active]]/covid_data[[#This Row],[Confirmed]]*100</f>
        <v>92.820706593614204</v>
      </c>
      <c r="S31" s="5" t="str">
        <f>IF(covid_data[[#This Row],[New deaths]]&gt;5,"High Risk","Low Risk")</f>
        <v>Low Risk</v>
      </c>
      <c r="T31" s="6">
        <f>RANK(B31,covid_data[Confirmed],0)</f>
        <v>30</v>
      </c>
      <c r="U31" s="5" t="str">
        <f>_xlfn.IFS(B31&gt;50000,"Critical",B31&gt;10000,"High",B31&gt;5000,"Moderate",B31&gt;=10,"Low")</f>
        <v>Critical</v>
      </c>
    </row>
    <row r="32" spans="1:21" x14ac:dyDescent="0.35">
      <c r="A32" s="1" t="s">
        <v>260</v>
      </c>
      <c r="B32">
        <v>77058</v>
      </c>
      <c r="C32">
        <v>393</v>
      </c>
      <c r="D32">
        <v>57028</v>
      </c>
      <c r="E32">
        <v>19637</v>
      </c>
      <c r="F32">
        <v>1053</v>
      </c>
      <c r="G32">
        <v>9</v>
      </c>
      <c r="H32">
        <v>1729</v>
      </c>
      <c r="I32">
        <v>0.51</v>
      </c>
      <c r="J32">
        <v>74.010000000000005</v>
      </c>
      <c r="K32" s="1" t="s">
        <v>261</v>
      </c>
      <c r="L32">
        <v>68400</v>
      </c>
      <c r="M32">
        <v>8658</v>
      </c>
      <c r="N32">
        <v>12.66</v>
      </c>
      <c r="O32" s="1" t="s">
        <v>17</v>
      </c>
      <c r="P32" s="3">
        <f>covid_data[[#This Row],[Deaths]]/covid_data[[#This Row],[Confirmed]]*100</f>
        <v>0.51000545043992829</v>
      </c>
      <c r="Q32" s="2">
        <f>covid_data[[#This Row],[Recovered]]/covid_data[[#This Row],[Confirmed]]</f>
        <v>0.74006592436865737</v>
      </c>
      <c r="R32" s="3">
        <f>covid_data[[#This Row],[Active]]/covid_data[[#This Row],[Confirmed]]*100</f>
        <v>25.483402112694336</v>
      </c>
      <c r="S32" s="5" t="str">
        <f>IF(covid_data[[#This Row],[New deaths]]&gt;5,"High Risk","Low Risk")</f>
        <v>High Risk</v>
      </c>
      <c r="T32" s="6">
        <f>RANK(B32,covid_data[Confirmed],0)</f>
        <v>31</v>
      </c>
      <c r="U32" s="5" t="str">
        <f>_xlfn.IFS(B32&gt;50000,"Critical",B32&gt;10000,"High",B32&gt;5000,"Moderate",B32&gt;=10,"Low")</f>
        <v>Critical</v>
      </c>
    </row>
    <row r="33" spans="1:21" x14ac:dyDescent="0.35">
      <c r="A33" s="1" t="s">
        <v>61</v>
      </c>
      <c r="B33">
        <v>71181</v>
      </c>
      <c r="C33">
        <v>2647</v>
      </c>
      <c r="D33">
        <v>21478</v>
      </c>
      <c r="E33">
        <v>47056</v>
      </c>
      <c r="F33">
        <v>1752</v>
      </c>
      <c r="G33">
        <v>64</v>
      </c>
      <c r="H33">
        <v>309</v>
      </c>
      <c r="I33">
        <v>3.72</v>
      </c>
      <c r="J33">
        <v>30.17</v>
      </c>
      <c r="K33" s="1" t="s">
        <v>62</v>
      </c>
      <c r="L33">
        <v>60991</v>
      </c>
      <c r="M33">
        <v>10190</v>
      </c>
      <c r="N33">
        <v>16.71</v>
      </c>
      <c r="O33" s="1" t="s">
        <v>30</v>
      </c>
      <c r="P33" s="3">
        <f>covid_data[[#This Row],[Deaths]]/covid_data[[#This Row],[Confirmed]]*100</f>
        <v>3.718688975990784</v>
      </c>
      <c r="Q33" s="2">
        <f>covid_data[[#This Row],[Recovered]]/covid_data[[#This Row],[Confirmed]]</f>
        <v>0.30173782329554233</v>
      </c>
      <c r="R33" s="3">
        <f>covid_data[[#This Row],[Active]]/covid_data[[#This Row],[Confirmed]]*100</f>
        <v>66.10752869445497</v>
      </c>
      <c r="S33" s="5" t="str">
        <f>IF(covid_data[[#This Row],[New deaths]]&gt;5,"High Risk","Low Risk")</f>
        <v>High Risk</v>
      </c>
      <c r="T33" s="6">
        <f>RANK(B33,covid_data[Confirmed],0)</f>
        <v>32</v>
      </c>
      <c r="U33" s="5" t="str">
        <f>_xlfn.IFS(B33&gt;50000,"Critical",B33&gt;10000,"High",B33&gt;5000,"Moderate",B33&gt;=10,"Low")</f>
        <v>Critical</v>
      </c>
    </row>
    <row r="34" spans="1:21" x14ac:dyDescent="0.35">
      <c r="A34" s="1" t="s">
        <v>51</v>
      </c>
      <c r="B34">
        <v>67251</v>
      </c>
      <c r="C34">
        <v>538</v>
      </c>
      <c r="D34">
        <v>60492</v>
      </c>
      <c r="E34">
        <v>6221</v>
      </c>
      <c r="F34">
        <v>119</v>
      </c>
      <c r="G34">
        <v>4</v>
      </c>
      <c r="H34">
        <v>67</v>
      </c>
      <c r="I34">
        <v>0.8</v>
      </c>
      <c r="J34">
        <v>89.95</v>
      </c>
      <c r="K34" s="1" t="s">
        <v>52</v>
      </c>
      <c r="L34">
        <v>66213</v>
      </c>
      <c r="M34">
        <v>1038</v>
      </c>
      <c r="N34">
        <v>1.57</v>
      </c>
      <c r="O34" s="1" t="s">
        <v>20</v>
      </c>
      <c r="P34" s="3">
        <f>covid_data[[#This Row],[Deaths]]/covid_data[[#This Row],[Confirmed]]*100</f>
        <v>0.79998810426610767</v>
      </c>
      <c r="Q34" s="2">
        <f>covid_data[[#This Row],[Recovered]]/covid_data[[#This Row],[Confirmed]]</f>
        <v>0.89949591827630815</v>
      </c>
      <c r="R34" s="3">
        <f>covid_data[[#This Row],[Active]]/covid_data[[#This Row],[Confirmed]]*100</f>
        <v>9.250420068103077</v>
      </c>
      <c r="S34" s="5" t="str">
        <f>IF(covid_data[[#This Row],[New deaths]]&gt;5,"High Risk","Low Risk")</f>
        <v>Low Risk</v>
      </c>
      <c r="T34" s="6">
        <f>RANK(B34,covid_data[Confirmed],0)</f>
        <v>33</v>
      </c>
      <c r="U34" s="5" t="str">
        <f>_xlfn.IFS(B34&gt;50000,"Critical",B34&gt;10000,"High",B34&gt;5000,"Moderate",B34&gt;=10,"Low")</f>
        <v>Critical</v>
      </c>
    </row>
    <row r="35" spans="1:21" x14ac:dyDescent="0.35">
      <c r="A35" s="1" t="s">
        <v>340</v>
      </c>
      <c r="B35">
        <v>67096</v>
      </c>
      <c r="C35">
        <v>1636</v>
      </c>
      <c r="D35">
        <v>37202</v>
      </c>
      <c r="E35">
        <v>28258</v>
      </c>
      <c r="F35">
        <v>835</v>
      </c>
      <c r="G35">
        <v>11</v>
      </c>
      <c r="H35">
        <v>317</v>
      </c>
      <c r="I35">
        <v>2.44</v>
      </c>
      <c r="J35">
        <v>55.45</v>
      </c>
      <c r="K35" s="1" t="s">
        <v>341</v>
      </c>
      <c r="L35">
        <v>60767</v>
      </c>
      <c r="M35">
        <v>6329</v>
      </c>
      <c r="N35">
        <v>10.42</v>
      </c>
      <c r="O35" s="1" t="s">
        <v>20</v>
      </c>
      <c r="P35" s="3">
        <f>covid_data[[#This Row],[Deaths]]/covid_data[[#This Row],[Confirmed]]*100</f>
        <v>2.4382973649695958</v>
      </c>
      <c r="Q35" s="2">
        <f>covid_data[[#This Row],[Recovered]]/covid_data[[#This Row],[Confirmed]]</f>
        <v>0.55445928222248719</v>
      </c>
      <c r="R35" s="3">
        <f>covid_data[[#This Row],[Active]]/covid_data[[#This Row],[Confirmed]]*100</f>
        <v>42.11577441278169</v>
      </c>
      <c r="S35" s="5" t="str">
        <f>IF(covid_data[[#This Row],[New deaths]]&gt;5,"High Risk","Low Risk")</f>
        <v>High Risk</v>
      </c>
      <c r="T35" s="6">
        <f>RANK(B35,covid_data[Confirmed],0)</f>
        <v>34</v>
      </c>
      <c r="U35" s="5" t="str">
        <f>_xlfn.IFS(B35&gt;50000,"Critical",B35&gt;10000,"High",B35&gt;5000,"Moderate",B35&gt;=10,"Low")</f>
        <v>Critical</v>
      </c>
    </row>
    <row r="36" spans="1:21" x14ac:dyDescent="0.35">
      <c r="A36" s="1" t="s">
        <v>53</v>
      </c>
      <c r="B36">
        <v>66428</v>
      </c>
      <c r="C36">
        <v>9822</v>
      </c>
      <c r="D36">
        <v>17452</v>
      </c>
      <c r="E36">
        <v>39154</v>
      </c>
      <c r="F36">
        <v>402</v>
      </c>
      <c r="G36">
        <v>1</v>
      </c>
      <c r="H36">
        <v>14</v>
      </c>
      <c r="I36">
        <v>14.79</v>
      </c>
      <c r="J36">
        <v>26.27</v>
      </c>
      <c r="K36" s="1" t="s">
        <v>54</v>
      </c>
      <c r="L36">
        <v>64094</v>
      </c>
      <c r="M36">
        <v>2334</v>
      </c>
      <c r="N36">
        <v>3.64</v>
      </c>
      <c r="O36" s="1" t="s">
        <v>20</v>
      </c>
      <c r="P36" s="3">
        <f>covid_data[[#This Row],[Deaths]]/covid_data[[#This Row],[Confirmed]]*100</f>
        <v>14.785933642439936</v>
      </c>
      <c r="Q36" s="2">
        <f>covid_data[[#This Row],[Recovered]]/covid_data[[#This Row],[Confirmed]]</f>
        <v>0.26272053953152286</v>
      </c>
      <c r="R36" s="3">
        <f>covid_data[[#This Row],[Active]]/covid_data[[#This Row],[Confirmed]]*100</f>
        <v>58.942012404407784</v>
      </c>
      <c r="S36" s="5" t="str">
        <f>IF(covid_data[[#This Row],[New deaths]]&gt;5,"High Risk","Low Risk")</f>
        <v>Low Risk</v>
      </c>
      <c r="T36" s="6">
        <f>RANK(B36,covid_data[Confirmed],0)</f>
        <v>35</v>
      </c>
      <c r="U36" s="5" t="str">
        <f>_xlfn.IFS(B36&gt;50000,"Critical",B36&gt;10000,"High",B36&gt;5000,"Moderate",B36&gt;=10,"Low")</f>
        <v>Critical</v>
      </c>
    </row>
    <row r="37" spans="1:21" x14ac:dyDescent="0.35">
      <c r="A37" s="1" t="s">
        <v>196</v>
      </c>
      <c r="B37">
        <v>64379</v>
      </c>
      <c r="C37">
        <v>438</v>
      </c>
      <c r="D37">
        <v>55057</v>
      </c>
      <c r="E37">
        <v>8884</v>
      </c>
      <c r="F37">
        <v>606</v>
      </c>
      <c r="G37">
        <v>5</v>
      </c>
      <c r="H37">
        <v>684</v>
      </c>
      <c r="I37">
        <v>0.68</v>
      </c>
      <c r="J37">
        <v>85.52</v>
      </c>
      <c r="K37" s="1" t="s">
        <v>197</v>
      </c>
      <c r="L37">
        <v>59763</v>
      </c>
      <c r="M37">
        <v>4616</v>
      </c>
      <c r="N37">
        <v>7.72</v>
      </c>
      <c r="O37" s="1" t="s">
        <v>17</v>
      </c>
      <c r="P37" s="3">
        <f>covid_data[[#This Row],[Deaths]]/covid_data[[#This Row],[Confirmed]]*100</f>
        <v>0.68034607558365301</v>
      </c>
      <c r="Q37" s="2">
        <f>covid_data[[#This Row],[Recovered]]/covid_data[[#This Row],[Confirmed]]</f>
        <v>0.85520123021482164</v>
      </c>
      <c r="R37" s="3">
        <f>covid_data[[#This Row],[Active]]/covid_data[[#This Row],[Confirmed]]*100</f>
        <v>13.799530902934187</v>
      </c>
      <c r="S37" s="5" t="str">
        <f>IF(covid_data[[#This Row],[New deaths]]&gt;5,"High Risk","Low Risk")</f>
        <v>Low Risk</v>
      </c>
      <c r="T37" s="6">
        <f>RANK(B37,covid_data[Confirmed],0)</f>
        <v>36</v>
      </c>
      <c r="U37" s="5" t="str">
        <f>_xlfn.IFS(B37&gt;50000,"Critical",B37&gt;10000,"High",B37&gt;5000,"Moderate",B37&gt;=10,"Low")</f>
        <v>Critical</v>
      </c>
    </row>
    <row r="38" spans="1:21" x14ac:dyDescent="0.35">
      <c r="A38" s="1" t="s">
        <v>119</v>
      </c>
      <c r="B38">
        <v>64156</v>
      </c>
      <c r="C38">
        <v>1083</v>
      </c>
      <c r="D38">
        <v>30204</v>
      </c>
      <c r="E38">
        <v>32869</v>
      </c>
      <c r="F38">
        <v>1248</v>
      </c>
      <c r="G38">
        <v>20</v>
      </c>
      <c r="H38">
        <v>1601</v>
      </c>
      <c r="I38">
        <v>1.69</v>
      </c>
      <c r="J38">
        <v>47.08</v>
      </c>
      <c r="K38" s="1" t="s">
        <v>120</v>
      </c>
      <c r="L38">
        <v>53956</v>
      </c>
      <c r="M38">
        <v>10200</v>
      </c>
      <c r="N38">
        <v>18.899999999999999</v>
      </c>
      <c r="O38" s="1" t="s">
        <v>30</v>
      </c>
      <c r="P38" s="3">
        <f>covid_data[[#This Row],[Deaths]]/covid_data[[#This Row],[Confirmed]]*100</f>
        <v>1.688072822495168</v>
      </c>
      <c r="Q38" s="2">
        <f>covid_data[[#This Row],[Recovered]]/covid_data[[#This Row],[Confirmed]]</f>
        <v>0.47078994949809838</v>
      </c>
      <c r="R38" s="3">
        <f>covid_data[[#This Row],[Active]]/covid_data[[#This Row],[Confirmed]]*100</f>
        <v>51.232932227694995</v>
      </c>
      <c r="S38" s="5" t="str">
        <f>IF(covid_data[[#This Row],[New deaths]]&gt;5,"High Risk","Low Risk")</f>
        <v>High Risk</v>
      </c>
      <c r="T38" s="6">
        <f>RANK(B38,covid_data[Confirmed],0)</f>
        <v>37</v>
      </c>
      <c r="U38" s="5" t="str">
        <f>_xlfn.IFS(B38&gt;50000,"Critical",B38&gt;10000,"High",B38&gt;5000,"Moderate",B38&gt;=10,"Low")</f>
        <v>Critical</v>
      </c>
    </row>
    <row r="39" spans="1:21" x14ac:dyDescent="0.35">
      <c r="A39" s="1" t="s">
        <v>180</v>
      </c>
      <c r="B39">
        <v>63985</v>
      </c>
      <c r="C39">
        <v>474</v>
      </c>
      <c r="D39">
        <v>27133</v>
      </c>
      <c r="E39">
        <v>36378</v>
      </c>
      <c r="F39">
        <v>2029</v>
      </c>
      <c r="G39">
        <v>4</v>
      </c>
      <c r="H39">
        <v>108</v>
      </c>
      <c r="I39">
        <v>0.74</v>
      </c>
      <c r="J39">
        <v>42.41</v>
      </c>
      <c r="K39" s="1" t="s">
        <v>181</v>
      </c>
      <c r="L39">
        <v>52003</v>
      </c>
      <c r="M39">
        <v>11982</v>
      </c>
      <c r="N39">
        <v>23.04</v>
      </c>
      <c r="O39" s="1" t="s">
        <v>20</v>
      </c>
      <c r="P39" s="3">
        <f>covid_data[[#This Row],[Deaths]]/covid_data[[#This Row],[Confirmed]]*100</f>
        <v>0.74079862467765878</v>
      </c>
      <c r="Q39" s="2">
        <f>covid_data[[#This Row],[Recovered]]/covid_data[[#This Row],[Confirmed]]</f>
        <v>0.42405251230757207</v>
      </c>
      <c r="R39" s="3">
        <f>covid_data[[#This Row],[Active]]/covid_data[[#This Row],[Confirmed]]*100</f>
        <v>56.853950144565133</v>
      </c>
      <c r="S39" s="5" t="str">
        <f>IF(covid_data[[#This Row],[New deaths]]&gt;5,"High Risk","Low Risk")</f>
        <v>Low Risk</v>
      </c>
      <c r="T39" s="6">
        <f>RANK(B39,covid_data[Confirmed],0)</f>
        <v>38</v>
      </c>
      <c r="U39" s="5" t="str">
        <f>_xlfn.IFS(B39&gt;50000,"Critical",B39&gt;10000,"High",B39&gt;5000,"Moderate",B39&gt;=10,"Low")</f>
        <v>Critical</v>
      </c>
    </row>
    <row r="40" spans="1:21" x14ac:dyDescent="0.35">
      <c r="A40" s="1" t="s">
        <v>264</v>
      </c>
      <c r="B40">
        <v>61442</v>
      </c>
      <c r="C40">
        <v>1322</v>
      </c>
      <c r="D40">
        <v>35086</v>
      </c>
      <c r="E40">
        <v>25034</v>
      </c>
      <c r="F40">
        <v>1146</v>
      </c>
      <c r="G40">
        <v>28</v>
      </c>
      <c r="H40">
        <v>955</v>
      </c>
      <c r="I40">
        <v>2.15</v>
      </c>
      <c r="J40">
        <v>57.1</v>
      </c>
      <c r="K40" s="1" t="s">
        <v>265</v>
      </c>
      <c r="L40">
        <v>54426</v>
      </c>
      <c r="M40">
        <v>7016</v>
      </c>
      <c r="N40">
        <v>12.89</v>
      </c>
      <c r="O40" s="1" t="s">
        <v>30</v>
      </c>
      <c r="P40" s="3">
        <f>covid_data[[#This Row],[Deaths]]/covid_data[[#This Row],[Confirmed]]*100</f>
        <v>2.1516226685329256</v>
      </c>
      <c r="Q40" s="2">
        <f>covid_data[[#This Row],[Recovered]]/covid_data[[#This Row],[Confirmed]]</f>
        <v>0.57104260929006212</v>
      </c>
      <c r="R40" s="3">
        <f>covid_data[[#This Row],[Active]]/covid_data[[#This Row],[Confirmed]]*100</f>
        <v>40.744116402460854</v>
      </c>
      <c r="S40" s="5" t="str">
        <f>IF(covid_data[[#This Row],[New deaths]]&gt;5,"High Risk","Low Risk")</f>
        <v>High Risk</v>
      </c>
      <c r="T40" s="6">
        <f>RANK(B40,covid_data[Confirmed],0)</f>
        <v>39</v>
      </c>
      <c r="U40" s="5" t="str">
        <f>_xlfn.IFS(B40&gt;50000,"Critical",B40&gt;10000,"High",B40&gt;5000,"Moderate",B40&gt;=10,"Low")</f>
        <v>Critical</v>
      </c>
    </row>
    <row r="41" spans="1:21" x14ac:dyDescent="0.35">
      <c r="A41" s="1" t="s">
        <v>342</v>
      </c>
      <c r="B41">
        <v>59177</v>
      </c>
      <c r="C41">
        <v>345</v>
      </c>
      <c r="D41">
        <v>52510</v>
      </c>
      <c r="E41">
        <v>6322</v>
      </c>
      <c r="F41">
        <v>264</v>
      </c>
      <c r="G41">
        <v>1</v>
      </c>
      <c r="H41">
        <v>328</v>
      </c>
      <c r="I41">
        <v>0.57999999999999996</v>
      </c>
      <c r="J41">
        <v>88.73</v>
      </c>
      <c r="K41" s="1" t="s">
        <v>343</v>
      </c>
      <c r="L41">
        <v>57193</v>
      </c>
      <c r="M41">
        <v>1984</v>
      </c>
      <c r="N41">
        <v>3.47</v>
      </c>
      <c r="O41" s="1" t="s">
        <v>17</v>
      </c>
      <c r="P41" s="3">
        <f>covid_data[[#This Row],[Deaths]]/covid_data[[#This Row],[Confirmed]]*100</f>
        <v>0.5829967723946804</v>
      </c>
      <c r="Q41" s="2">
        <f>covid_data[[#This Row],[Recovered]]/covid_data[[#This Row],[Confirmed]]</f>
        <v>0.88733798604187442</v>
      </c>
      <c r="R41" s="3">
        <f>covid_data[[#This Row],[Active]]/covid_data[[#This Row],[Confirmed]]*100</f>
        <v>10.683204623417881</v>
      </c>
      <c r="S41" s="5" t="str">
        <f>IF(covid_data[[#This Row],[New deaths]]&gt;5,"High Risk","Low Risk")</f>
        <v>Low Risk</v>
      </c>
      <c r="T41" s="6">
        <f>RANK(B41,covid_data[Confirmed],0)</f>
        <v>40</v>
      </c>
      <c r="U41" s="5" t="str">
        <f>_xlfn.IFS(B41&gt;50000,"Critical",B41&gt;10000,"High",B41&gt;5000,"Moderate",B41&gt;=10,"Low")</f>
        <v>Critical</v>
      </c>
    </row>
    <row r="42" spans="1:21" x14ac:dyDescent="0.35">
      <c r="A42" s="1" t="s">
        <v>247</v>
      </c>
      <c r="B42">
        <v>53413</v>
      </c>
      <c r="C42">
        <v>6160</v>
      </c>
      <c r="D42">
        <v>189</v>
      </c>
      <c r="E42">
        <v>47064</v>
      </c>
      <c r="F42">
        <v>419</v>
      </c>
      <c r="G42">
        <v>1</v>
      </c>
      <c r="H42">
        <v>0</v>
      </c>
      <c r="I42">
        <v>11.53</v>
      </c>
      <c r="J42">
        <v>0.35</v>
      </c>
      <c r="K42" s="1" t="s">
        <v>248</v>
      </c>
      <c r="L42">
        <v>52132</v>
      </c>
      <c r="M42">
        <v>1281</v>
      </c>
      <c r="N42">
        <v>2.46</v>
      </c>
      <c r="O42" s="1" t="s">
        <v>20</v>
      </c>
      <c r="P42" s="3">
        <f>covid_data[[#This Row],[Deaths]]/covid_data[[#This Row],[Confirmed]]*100</f>
        <v>11.532772920450078</v>
      </c>
      <c r="Q42" s="2">
        <f>covid_data[[#This Row],[Recovered]]/covid_data[[#This Row],[Confirmed]]</f>
        <v>3.5384644187744555E-3</v>
      </c>
      <c r="R42" s="3">
        <f>covid_data[[#This Row],[Active]]/covid_data[[#This Row],[Confirmed]]*100</f>
        <v>88.113380637672478</v>
      </c>
      <c r="S42" s="5" t="str">
        <f>IF(covid_data[[#This Row],[New deaths]]&gt;5,"High Risk","Low Risk")</f>
        <v>Low Risk</v>
      </c>
      <c r="T42" s="6">
        <f>RANK(B42,covid_data[Confirmed],0)</f>
        <v>41</v>
      </c>
      <c r="U42" s="5" t="str">
        <f>_xlfn.IFS(B42&gt;50000,"Critical",B42&gt;10000,"High",B42&gt;5000,"Moderate",B42&gt;=10,"Low")</f>
        <v>Critical</v>
      </c>
    </row>
    <row r="43" spans="1:21" x14ac:dyDescent="0.35">
      <c r="A43" s="1" t="s">
        <v>298</v>
      </c>
      <c r="B43">
        <v>50838</v>
      </c>
      <c r="C43">
        <v>27</v>
      </c>
      <c r="D43">
        <v>45692</v>
      </c>
      <c r="E43">
        <v>5119</v>
      </c>
      <c r="F43">
        <v>469</v>
      </c>
      <c r="G43">
        <v>0</v>
      </c>
      <c r="H43">
        <v>171</v>
      </c>
      <c r="I43">
        <v>0.05</v>
      </c>
      <c r="J43">
        <v>89.88</v>
      </c>
      <c r="K43" s="1" t="s">
        <v>299</v>
      </c>
      <c r="L43">
        <v>48035</v>
      </c>
      <c r="M43">
        <v>2803</v>
      </c>
      <c r="N43">
        <v>5.84</v>
      </c>
      <c r="O43" s="1" t="s">
        <v>37</v>
      </c>
      <c r="P43" s="3">
        <f>covid_data[[#This Row],[Deaths]]/covid_data[[#This Row],[Confirmed]]*100</f>
        <v>5.3109878437389353E-2</v>
      </c>
      <c r="Q43" s="2">
        <f>covid_data[[#This Row],[Recovered]]/covid_data[[#This Row],[Confirmed]]</f>
        <v>0.89877650576340529</v>
      </c>
      <c r="R43" s="3">
        <f>covid_data[[#This Row],[Active]]/covid_data[[#This Row],[Confirmed]]*100</f>
        <v>10.069239545222079</v>
      </c>
      <c r="S43" s="5" t="str">
        <f>IF(covid_data[[#This Row],[New deaths]]&gt;5,"High Risk","Low Risk")</f>
        <v>Low Risk</v>
      </c>
      <c r="T43" s="6">
        <f>RANK(B43,covid_data[Confirmed],0)</f>
        <v>42</v>
      </c>
      <c r="U43" s="5" t="str">
        <f>_xlfn.IFS(B43&gt;50000,"Critical",B43&gt;10000,"High",B43&gt;5000,"Moderate",B43&gt;=10,"Low")</f>
        <v>Critical</v>
      </c>
    </row>
    <row r="44" spans="1:21" x14ac:dyDescent="0.35">
      <c r="A44" s="1" t="s">
        <v>275</v>
      </c>
      <c r="B44">
        <v>50299</v>
      </c>
      <c r="C44">
        <v>1719</v>
      </c>
      <c r="D44">
        <v>35375</v>
      </c>
      <c r="E44">
        <v>13205</v>
      </c>
      <c r="F44">
        <v>135</v>
      </c>
      <c r="G44">
        <v>2</v>
      </c>
      <c r="H44">
        <v>158</v>
      </c>
      <c r="I44">
        <v>3.42</v>
      </c>
      <c r="J44">
        <v>70.33</v>
      </c>
      <c r="K44" s="1" t="s">
        <v>115</v>
      </c>
      <c r="L44">
        <v>48771</v>
      </c>
      <c r="M44">
        <v>1528</v>
      </c>
      <c r="N44">
        <v>3.13</v>
      </c>
      <c r="O44" s="1" t="s">
        <v>20</v>
      </c>
      <c r="P44" s="3">
        <f>covid_data[[#This Row],[Deaths]]/covid_data[[#This Row],[Confirmed]]*100</f>
        <v>3.417562973418955</v>
      </c>
      <c r="Q44" s="2">
        <f>covid_data[[#This Row],[Recovered]]/covid_data[[#This Row],[Confirmed]]</f>
        <v>0.70329430008548877</v>
      </c>
      <c r="R44" s="3">
        <f>covid_data[[#This Row],[Active]]/covid_data[[#This Row],[Confirmed]]*100</f>
        <v>26.253007018032164</v>
      </c>
      <c r="S44" s="5" t="str">
        <f>IF(covid_data[[#This Row],[New deaths]]&gt;5,"High Risk","Low Risk")</f>
        <v>Low Risk</v>
      </c>
      <c r="T44" s="6">
        <f>RANK(B44,covid_data[Confirmed],0)</f>
        <v>43</v>
      </c>
      <c r="U44" s="5" t="str">
        <f>_xlfn.IFS(B44&gt;50000,"Critical",B44&gt;10000,"High",B44&gt;5000,"Moderate",B44&gt;=10,"Low")</f>
        <v>Critical</v>
      </c>
    </row>
    <row r="45" spans="1:21" x14ac:dyDescent="0.35">
      <c r="A45" s="1" t="s">
        <v>278</v>
      </c>
      <c r="B45">
        <v>45902</v>
      </c>
      <c r="C45">
        <v>2206</v>
      </c>
      <c r="D45">
        <v>25794</v>
      </c>
      <c r="E45">
        <v>17902</v>
      </c>
      <c r="F45">
        <v>1104</v>
      </c>
      <c r="G45">
        <v>19</v>
      </c>
      <c r="H45">
        <v>151</v>
      </c>
      <c r="I45">
        <v>4.8099999999999996</v>
      </c>
      <c r="J45">
        <v>56.19</v>
      </c>
      <c r="K45" s="1" t="s">
        <v>279</v>
      </c>
      <c r="L45">
        <v>38139</v>
      </c>
      <c r="M45">
        <v>7763</v>
      </c>
      <c r="N45">
        <v>20.350000000000001</v>
      </c>
      <c r="O45" s="1" t="s">
        <v>20</v>
      </c>
      <c r="P45" s="3">
        <f>covid_data[[#This Row],[Deaths]]/covid_data[[#This Row],[Confirmed]]*100</f>
        <v>4.8058908108579148</v>
      </c>
      <c r="Q45" s="2">
        <f>covid_data[[#This Row],[Recovered]]/covid_data[[#This Row],[Confirmed]]</f>
        <v>0.56193629907193587</v>
      </c>
      <c r="R45" s="3">
        <f>covid_data[[#This Row],[Active]]/covid_data[[#This Row],[Confirmed]]*100</f>
        <v>39.0004792819485</v>
      </c>
      <c r="S45" s="5" t="str">
        <f>IF(covid_data[[#This Row],[New deaths]]&gt;5,"High Risk","Low Risk")</f>
        <v>High Risk</v>
      </c>
      <c r="T45" s="6">
        <f>RANK(B45,covid_data[Confirmed],0)</f>
        <v>44</v>
      </c>
      <c r="U45" s="5" t="str">
        <f>_xlfn.IFS(B45&gt;50000,"Critical",B45&gt;10000,"High",B45&gt;5000,"Moderate",B45&gt;=10,"Low")</f>
        <v>High</v>
      </c>
    </row>
    <row r="46" spans="1:21" x14ac:dyDescent="0.35">
      <c r="A46" s="1" t="s">
        <v>153</v>
      </c>
      <c r="B46">
        <v>45309</v>
      </c>
      <c r="C46">
        <v>1761</v>
      </c>
      <c r="D46">
        <v>32455</v>
      </c>
      <c r="E46">
        <v>11093</v>
      </c>
      <c r="F46">
        <v>256</v>
      </c>
      <c r="G46">
        <v>27</v>
      </c>
      <c r="H46">
        <v>843</v>
      </c>
      <c r="I46">
        <v>3.89</v>
      </c>
      <c r="J46">
        <v>71.63</v>
      </c>
      <c r="K46" s="1" t="s">
        <v>154</v>
      </c>
      <c r="L46">
        <v>39039</v>
      </c>
      <c r="M46">
        <v>6270</v>
      </c>
      <c r="N46">
        <v>16.059999999999999</v>
      </c>
      <c r="O46" s="1" t="s">
        <v>30</v>
      </c>
      <c r="P46" s="3">
        <f>covid_data[[#This Row],[Deaths]]/covid_data[[#This Row],[Confirmed]]*100</f>
        <v>3.8866450374097861</v>
      </c>
      <c r="Q46" s="2">
        <f>covid_data[[#This Row],[Recovered]]/covid_data[[#This Row],[Confirmed]]</f>
        <v>0.71630360414045779</v>
      </c>
      <c r="R46" s="3">
        <f>covid_data[[#This Row],[Active]]/covid_data[[#This Row],[Confirmed]]*100</f>
        <v>24.48299454854444</v>
      </c>
      <c r="S46" s="5" t="str">
        <f>IF(covid_data[[#This Row],[New deaths]]&gt;5,"High Risk","Low Risk")</f>
        <v>High Risk</v>
      </c>
      <c r="T46" s="6">
        <f>RANK(B46,covid_data[Confirmed],0)</f>
        <v>45</v>
      </c>
      <c r="U46" s="5" t="str">
        <f>_xlfn.IFS(B46&gt;50000,"Critical",B46&gt;10000,"High",B46&gt;5000,"Moderate",B46&gt;=10,"Low")</f>
        <v>High</v>
      </c>
    </row>
    <row r="47" spans="1:21" x14ac:dyDescent="0.35">
      <c r="A47" s="1" t="s">
        <v>273</v>
      </c>
      <c r="B47">
        <v>43402</v>
      </c>
      <c r="C47">
        <v>1676</v>
      </c>
      <c r="D47">
        <v>32856</v>
      </c>
      <c r="E47">
        <v>8870</v>
      </c>
      <c r="F47">
        <v>337</v>
      </c>
      <c r="G47">
        <v>5</v>
      </c>
      <c r="H47">
        <v>103</v>
      </c>
      <c r="I47">
        <v>3.86</v>
      </c>
      <c r="J47">
        <v>75.7</v>
      </c>
      <c r="K47" s="1" t="s">
        <v>274</v>
      </c>
      <c r="L47">
        <v>40383</v>
      </c>
      <c r="M47">
        <v>3019</v>
      </c>
      <c r="N47">
        <v>7.48</v>
      </c>
      <c r="O47" s="1" t="s">
        <v>20</v>
      </c>
      <c r="P47" s="3">
        <f>covid_data[[#This Row],[Deaths]]/covid_data[[#This Row],[Confirmed]]*100</f>
        <v>3.8615731993917333</v>
      </c>
      <c r="Q47" s="2">
        <f>covid_data[[#This Row],[Recovered]]/covid_data[[#This Row],[Confirmed]]</f>
        <v>0.75701580572323857</v>
      </c>
      <c r="R47" s="3">
        <f>covid_data[[#This Row],[Active]]/covid_data[[#This Row],[Confirmed]]*100</f>
        <v>20.436846228284409</v>
      </c>
      <c r="S47" s="5" t="str">
        <f>IF(covid_data[[#This Row],[New deaths]]&gt;5,"High Risk","Low Risk")</f>
        <v>Low Risk</v>
      </c>
      <c r="T47" s="6">
        <f>RANK(B47,covid_data[Confirmed],0)</f>
        <v>46</v>
      </c>
      <c r="U47" s="5" t="str">
        <f>_xlfn.IFS(B47&gt;50000,"Critical",B47&gt;10000,"High",B47&gt;5000,"Moderate",B47&gt;=10,"Low")</f>
        <v>High</v>
      </c>
    </row>
    <row r="48" spans="1:21" x14ac:dyDescent="0.35">
      <c r="A48" s="1" t="s">
        <v>254</v>
      </c>
      <c r="B48">
        <v>41180</v>
      </c>
      <c r="C48">
        <v>860</v>
      </c>
      <c r="D48">
        <v>18203</v>
      </c>
      <c r="E48">
        <v>22117</v>
      </c>
      <c r="F48">
        <v>648</v>
      </c>
      <c r="G48">
        <v>2</v>
      </c>
      <c r="H48">
        <v>829</v>
      </c>
      <c r="I48">
        <v>2.09</v>
      </c>
      <c r="J48">
        <v>44.2</v>
      </c>
      <c r="K48" s="1" t="s">
        <v>255</v>
      </c>
      <c r="L48">
        <v>37225</v>
      </c>
      <c r="M48">
        <v>3955</v>
      </c>
      <c r="N48">
        <v>10.62</v>
      </c>
      <c r="O48" s="1" t="s">
        <v>23</v>
      </c>
      <c r="P48" s="3">
        <f>covid_data[[#This Row],[Deaths]]/covid_data[[#This Row],[Confirmed]]*100</f>
        <v>2.0883924235065567</v>
      </c>
      <c r="Q48" s="2">
        <f>covid_data[[#This Row],[Recovered]]/covid_data[[#This Row],[Confirmed]]</f>
        <v>0.44203496843127732</v>
      </c>
      <c r="R48" s="3">
        <f>covid_data[[#This Row],[Active]]/covid_data[[#This Row],[Confirmed]]*100</f>
        <v>53.708110733365707</v>
      </c>
      <c r="S48" s="5" t="str">
        <f>IF(covid_data[[#This Row],[New deaths]]&gt;5,"High Risk","Low Risk")</f>
        <v>Low Risk</v>
      </c>
      <c r="T48" s="6">
        <f>RANK(B48,covid_data[Confirmed],0)</f>
        <v>47</v>
      </c>
      <c r="U48" s="5" t="str">
        <f>_xlfn.IFS(B48&gt;50000,"Critical",B48&gt;10000,"High",B48&gt;5000,"Moderate",B48&gt;=10,"Low")</f>
        <v>High</v>
      </c>
    </row>
    <row r="49" spans="1:21" x14ac:dyDescent="0.35">
      <c r="A49" s="1" t="s">
        <v>164</v>
      </c>
      <c r="B49">
        <v>39741</v>
      </c>
      <c r="C49">
        <v>1166</v>
      </c>
      <c r="D49">
        <v>5039</v>
      </c>
      <c r="E49">
        <v>33536</v>
      </c>
      <c r="F49">
        <v>465</v>
      </c>
      <c r="G49">
        <v>50</v>
      </c>
      <c r="H49">
        <v>117</v>
      </c>
      <c r="I49">
        <v>2.93</v>
      </c>
      <c r="J49">
        <v>12.68</v>
      </c>
      <c r="K49" s="1" t="s">
        <v>165</v>
      </c>
      <c r="L49">
        <v>34611</v>
      </c>
      <c r="M49">
        <v>5130</v>
      </c>
      <c r="N49">
        <v>14.82</v>
      </c>
      <c r="O49" s="1" t="s">
        <v>30</v>
      </c>
      <c r="P49" s="3">
        <f>covid_data[[#This Row],[Deaths]]/covid_data[[#This Row],[Confirmed]]*100</f>
        <v>2.9339976346845829</v>
      </c>
      <c r="Q49" s="2">
        <f>covid_data[[#This Row],[Recovered]]/covid_data[[#This Row],[Confirmed]]</f>
        <v>0.12679600412672051</v>
      </c>
      <c r="R49" s="3">
        <f>covid_data[[#This Row],[Active]]/covid_data[[#This Row],[Confirmed]]*100</f>
        <v>84.386401952643368</v>
      </c>
      <c r="S49" s="5" t="str">
        <f>IF(covid_data[[#This Row],[New deaths]]&gt;5,"High Risk","Low Risk")</f>
        <v>High Risk</v>
      </c>
      <c r="T49" s="6">
        <f>RANK(B49,covid_data[Confirmed],0)</f>
        <v>48</v>
      </c>
      <c r="U49" s="5" t="str">
        <f>_xlfn.IFS(B49&gt;50000,"Critical",B49&gt;10000,"High",B49&gt;5000,"Moderate",B49&gt;=10,"Low")</f>
        <v>High</v>
      </c>
    </row>
    <row r="50" spans="1:21" x14ac:dyDescent="0.35">
      <c r="A50" s="1" t="s">
        <v>44</v>
      </c>
      <c r="B50">
        <v>39482</v>
      </c>
      <c r="C50">
        <v>141</v>
      </c>
      <c r="D50">
        <v>36110</v>
      </c>
      <c r="E50">
        <v>3231</v>
      </c>
      <c r="F50">
        <v>351</v>
      </c>
      <c r="G50">
        <v>1</v>
      </c>
      <c r="H50">
        <v>421</v>
      </c>
      <c r="I50">
        <v>0.36</v>
      </c>
      <c r="J50">
        <v>91.46</v>
      </c>
      <c r="K50" s="1" t="s">
        <v>45</v>
      </c>
      <c r="L50">
        <v>36936</v>
      </c>
      <c r="M50">
        <v>2546</v>
      </c>
      <c r="N50">
        <v>6.89</v>
      </c>
      <c r="O50" s="1" t="s">
        <v>17</v>
      </c>
      <c r="P50" s="3">
        <f>covid_data[[#This Row],[Deaths]]/covid_data[[#This Row],[Confirmed]]*100</f>
        <v>0.35712476571602247</v>
      </c>
      <c r="Q50" s="2">
        <f>covid_data[[#This Row],[Recovered]]/covid_data[[#This Row],[Confirmed]]</f>
        <v>0.91459399219897675</v>
      </c>
      <c r="R50" s="3">
        <f>covid_data[[#This Row],[Active]]/covid_data[[#This Row],[Confirmed]]*100</f>
        <v>8.1834760143863026</v>
      </c>
      <c r="S50" s="5" t="str">
        <f>IF(covid_data[[#This Row],[New deaths]]&gt;5,"High Risk","Low Risk")</f>
        <v>Low Risk</v>
      </c>
      <c r="T50" s="6">
        <f>RANK(B50,covid_data[Confirmed],0)</f>
        <v>49</v>
      </c>
      <c r="U50" s="5" t="str">
        <f>_xlfn.IFS(B50&gt;50000,"Critical",B50&gt;10000,"High",B50&gt;5000,"Moderate",B50&gt;=10,"Low")</f>
        <v>High</v>
      </c>
    </row>
    <row r="51" spans="1:21" x14ac:dyDescent="0.35">
      <c r="A51" s="1" t="s">
        <v>33</v>
      </c>
      <c r="B51">
        <v>37390</v>
      </c>
      <c r="C51">
        <v>711</v>
      </c>
      <c r="D51">
        <v>26665</v>
      </c>
      <c r="E51">
        <v>10014</v>
      </c>
      <c r="F51">
        <v>73</v>
      </c>
      <c r="G51">
        <v>6</v>
      </c>
      <c r="H51">
        <v>187</v>
      </c>
      <c r="I51">
        <v>1.9</v>
      </c>
      <c r="J51">
        <v>71.319999999999993</v>
      </c>
      <c r="K51" s="1" t="s">
        <v>34</v>
      </c>
      <c r="L51">
        <v>34981</v>
      </c>
      <c r="M51">
        <v>2409</v>
      </c>
      <c r="N51">
        <v>6.89</v>
      </c>
      <c r="O51" s="1" t="s">
        <v>20</v>
      </c>
      <c r="P51" s="3">
        <f>covid_data[[#This Row],[Deaths]]/covid_data[[#This Row],[Confirmed]]*100</f>
        <v>1.9015779620219311</v>
      </c>
      <c r="Q51" s="2">
        <f>covid_data[[#This Row],[Recovered]]/covid_data[[#This Row],[Confirmed]]</f>
        <v>0.71315859855576358</v>
      </c>
      <c r="R51" s="3">
        <f>covid_data[[#This Row],[Active]]/covid_data[[#This Row],[Confirmed]]*100</f>
        <v>26.782562182401708</v>
      </c>
      <c r="S51" s="5" t="str">
        <f>IF(covid_data[[#This Row],[New deaths]]&gt;5,"High Risk","Low Risk")</f>
        <v>High Risk</v>
      </c>
      <c r="T51" s="6">
        <f>RANK(B51,covid_data[Confirmed],0)</f>
        <v>50</v>
      </c>
      <c r="U51" s="5" t="str">
        <f>_xlfn.IFS(B51&gt;50000,"Critical",B51&gt;10000,"High",B51&gt;5000,"Moderate",B51&gt;=10,"Low")</f>
        <v>High</v>
      </c>
    </row>
    <row r="52" spans="1:21" x14ac:dyDescent="0.35">
      <c r="A52" s="1" t="s">
        <v>15</v>
      </c>
      <c r="B52">
        <v>36263</v>
      </c>
      <c r="C52">
        <v>1269</v>
      </c>
      <c r="D52">
        <v>25198</v>
      </c>
      <c r="E52">
        <v>9796</v>
      </c>
      <c r="F52">
        <v>106</v>
      </c>
      <c r="G52">
        <v>10</v>
      </c>
      <c r="H52">
        <v>18</v>
      </c>
      <c r="I52">
        <v>3.5</v>
      </c>
      <c r="J52">
        <v>69.489999999999995</v>
      </c>
      <c r="K52" s="1" t="s">
        <v>16</v>
      </c>
      <c r="L52">
        <v>35526</v>
      </c>
      <c r="M52">
        <v>737</v>
      </c>
      <c r="N52">
        <v>2.0699999999999998</v>
      </c>
      <c r="O52" s="1" t="s">
        <v>17</v>
      </c>
      <c r="P52" s="3">
        <f>covid_data[[#This Row],[Deaths]]/covid_data[[#This Row],[Confirmed]]*100</f>
        <v>3.499434685492099</v>
      </c>
      <c r="Q52" s="2">
        <f>covid_data[[#This Row],[Recovered]]/covid_data[[#This Row],[Confirmed]]</f>
        <v>0.69486804732096075</v>
      </c>
      <c r="R52" s="3">
        <f>covid_data[[#This Row],[Active]]/covid_data[[#This Row],[Confirmed]]*100</f>
        <v>27.013760582411823</v>
      </c>
      <c r="S52" s="5" t="str">
        <f>IF(covid_data[[#This Row],[New deaths]]&gt;5,"High Risk","Low Risk")</f>
        <v>High Risk</v>
      </c>
      <c r="T52" s="6">
        <f>RANK(B52,covid_data[Confirmed],0)</f>
        <v>51</v>
      </c>
      <c r="U52" s="5" t="str">
        <f>_xlfn.IFS(B52&gt;50000,"Critical",B52&gt;10000,"High",B52&gt;5000,"Moderate",B52&gt;=10,"Low")</f>
        <v>High</v>
      </c>
    </row>
    <row r="53" spans="1:21" x14ac:dyDescent="0.35">
      <c r="A53" s="1" t="s">
        <v>318</v>
      </c>
      <c r="B53">
        <v>34477</v>
      </c>
      <c r="C53">
        <v>1978</v>
      </c>
      <c r="D53">
        <v>30900</v>
      </c>
      <c r="E53">
        <v>1599</v>
      </c>
      <c r="F53">
        <v>65</v>
      </c>
      <c r="G53">
        <v>1</v>
      </c>
      <c r="H53">
        <v>200</v>
      </c>
      <c r="I53">
        <v>5.74</v>
      </c>
      <c r="J53">
        <v>89.62</v>
      </c>
      <c r="K53" s="1" t="s">
        <v>319</v>
      </c>
      <c r="L53">
        <v>33634</v>
      </c>
      <c r="M53">
        <v>843</v>
      </c>
      <c r="N53">
        <v>2.5099999999999998</v>
      </c>
      <c r="O53" s="1" t="s">
        <v>20</v>
      </c>
      <c r="P53" s="3">
        <f>covid_data[[#This Row],[Deaths]]/covid_data[[#This Row],[Confirmed]]*100</f>
        <v>5.7371581054036023</v>
      </c>
      <c r="Q53" s="2">
        <f>covid_data[[#This Row],[Recovered]]/covid_data[[#This Row],[Confirmed]]</f>
        <v>0.89624967369550712</v>
      </c>
      <c r="R53" s="3">
        <f>covid_data[[#This Row],[Active]]/covid_data[[#This Row],[Confirmed]]*100</f>
        <v>4.6378745250456825</v>
      </c>
      <c r="S53" s="5" t="str">
        <f>IF(covid_data[[#This Row],[New deaths]]&gt;5,"High Risk","Low Risk")</f>
        <v>Low Risk</v>
      </c>
      <c r="T53" s="6">
        <f>RANK(B53,covid_data[Confirmed],0)</f>
        <v>52</v>
      </c>
      <c r="U53" s="5" t="str">
        <f>_xlfn.IFS(B53&gt;50000,"Critical",B53&gt;10000,"High",B53&gt;5000,"Moderate",B53&gt;=10,"Low")</f>
        <v>High</v>
      </c>
    </row>
    <row r="54" spans="1:21" x14ac:dyDescent="0.35">
      <c r="A54" s="1" t="s">
        <v>147</v>
      </c>
      <c r="B54">
        <v>33624</v>
      </c>
      <c r="C54">
        <v>168</v>
      </c>
      <c r="D54">
        <v>29801</v>
      </c>
      <c r="E54">
        <v>3655</v>
      </c>
      <c r="F54">
        <v>655</v>
      </c>
      <c r="G54">
        <v>0</v>
      </c>
      <c r="H54">
        <v>307</v>
      </c>
      <c r="I54">
        <v>0.5</v>
      </c>
      <c r="J54">
        <v>88.63</v>
      </c>
      <c r="K54" s="1" t="s">
        <v>148</v>
      </c>
      <c r="L54">
        <v>28430</v>
      </c>
      <c r="M54">
        <v>5194</v>
      </c>
      <c r="N54">
        <v>18.27</v>
      </c>
      <c r="O54" s="1" t="s">
        <v>23</v>
      </c>
      <c r="P54" s="3">
        <f>covid_data[[#This Row],[Deaths]]/covid_data[[#This Row],[Confirmed]]*100</f>
        <v>0.49964311206281231</v>
      </c>
      <c r="Q54" s="2">
        <f>covid_data[[#This Row],[Recovered]]/covid_data[[#This Row],[Confirmed]]</f>
        <v>0.88630145134427785</v>
      </c>
      <c r="R54" s="3">
        <f>covid_data[[#This Row],[Active]]/covid_data[[#This Row],[Confirmed]]*100</f>
        <v>10.870211753509398</v>
      </c>
      <c r="S54" s="5" t="str">
        <f>IF(covid_data[[#This Row],[New deaths]]&gt;5,"High Risk","Low Risk")</f>
        <v>Low Risk</v>
      </c>
      <c r="T54" s="6">
        <f>RANK(B54,covid_data[Confirmed],0)</f>
        <v>53</v>
      </c>
      <c r="U54" s="5" t="str">
        <f>_xlfn.IFS(B54&gt;50000,"Critical",B54&gt;10000,"High",B54&gt;5000,"Moderate",B54&gt;=10,"Low")</f>
        <v>High</v>
      </c>
    </row>
    <row r="55" spans="1:21" x14ac:dyDescent="0.35">
      <c r="A55" s="1" t="s">
        <v>198</v>
      </c>
      <c r="B55">
        <v>33296</v>
      </c>
      <c r="C55">
        <v>1301</v>
      </c>
      <c r="D55">
        <v>21205</v>
      </c>
      <c r="E55">
        <v>10790</v>
      </c>
      <c r="F55">
        <v>483</v>
      </c>
      <c r="G55">
        <v>24</v>
      </c>
      <c r="H55">
        <v>817</v>
      </c>
      <c r="I55">
        <v>3.91</v>
      </c>
      <c r="J55">
        <v>63.69</v>
      </c>
      <c r="K55" s="1" t="s">
        <v>199</v>
      </c>
      <c r="L55">
        <v>27143</v>
      </c>
      <c r="M55">
        <v>6153</v>
      </c>
      <c r="N55">
        <v>22.67</v>
      </c>
      <c r="O55" s="1" t="s">
        <v>20</v>
      </c>
      <c r="P55" s="3">
        <f>covid_data[[#This Row],[Deaths]]/covid_data[[#This Row],[Confirmed]]*100</f>
        <v>3.9073762614127823</v>
      </c>
      <c r="Q55" s="2">
        <f>covid_data[[#This Row],[Recovered]]/covid_data[[#This Row],[Confirmed]]</f>
        <v>0.63686328688130711</v>
      </c>
      <c r="R55" s="3">
        <f>covid_data[[#This Row],[Active]]/covid_data[[#This Row],[Confirmed]]*100</f>
        <v>32.406295050456514</v>
      </c>
      <c r="S55" s="5" t="str">
        <f>IF(covid_data[[#This Row],[New deaths]]&gt;5,"High Risk","Low Risk")</f>
        <v>High Risk</v>
      </c>
      <c r="T55" s="6">
        <f>RANK(B55,covid_data[Confirmed],0)</f>
        <v>54</v>
      </c>
      <c r="U55" s="5" t="str">
        <f>_xlfn.IFS(B55&gt;50000,"Critical",B55&gt;10000,"High",B55&gt;5000,"Moderate",B55&gt;=10,"Low")</f>
        <v>High</v>
      </c>
    </row>
    <row r="56" spans="1:21" x14ac:dyDescent="0.35">
      <c r="A56" s="1" t="s">
        <v>186</v>
      </c>
      <c r="B56">
        <v>31142</v>
      </c>
      <c r="C56">
        <v>998</v>
      </c>
      <c r="D56">
        <v>21970</v>
      </c>
      <c r="E56">
        <v>8174</v>
      </c>
      <c r="F56">
        <v>594</v>
      </c>
      <c r="G56">
        <v>0</v>
      </c>
      <c r="H56">
        <v>364</v>
      </c>
      <c r="I56">
        <v>3.2</v>
      </c>
      <c r="J56">
        <v>70.55</v>
      </c>
      <c r="K56" s="1" t="s">
        <v>187</v>
      </c>
      <c r="L56">
        <v>25706</v>
      </c>
      <c r="M56">
        <v>5436</v>
      </c>
      <c r="N56">
        <v>21.15</v>
      </c>
      <c r="O56" s="1" t="s">
        <v>37</v>
      </c>
      <c r="P56" s="3">
        <f>covid_data[[#This Row],[Deaths]]/covid_data[[#This Row],[Confirmed]]*100</f>
        <v>3.2046753580373775</v>
      </c>
      <c r="Q56" s="2">
        <f>covid_data[[#This Row],[Recovered]]/covid_data[[#This Row],[Confirmed]]</f>
        <v>0.70547813242566304</v>
      </c>
      <c r="R56" s="3">
        <f>covid_data[[#This Row],[Active]]/covid_data[[#This Row],[Confirmed]]*100</f>
        <v>26.247511399396313</v>
      </c>
      <c r="S56" s="5" t="str">
        <f>IF(covid_data[[#This Row],[New deaths]]&gt;5,"High Risk","Low Risk")</f>
        <v>Low Risk</v>
      </c>
      <c r="T56" s="6">
        <f>RANK(B56,covid_data[Confirmed],0)</f>
        <v>55</v>
      </c>
      <c r="U56" s="5" t="str">
        <f>_xlfn.IFS(B56&gt;50000,"Critical",B56&gt;10000,"High",B56&gt;5000,"Moderate",B56&gt;=10,"Low")</f>
        <v>High</v>
      </c>
    </row>
    <row r="57" spans="1:21" x14ac:dyDescent="0.35">
      <c r="A57" s="1" t="s">
        <v>40</v>
      </c>
      <c r="B57">
        <v>30446</v>
      </c>
      <c r="C57">
        <v>423</v>
      </c>
      <c r="D57">
        <v>23242</v>
      </c>
      <c r="E57">
        <v>6781</v>
      </c>
      <c r="F57">
        <v>396</v>
      </c>
      <c r="G57">
        <v>6</v>
      </c>
      <c r="H57">
        <v>558</v>
      </c>
      <c r="I57">
        <v>1.39</v>
      </c>
      <c r="J57">
        <v>76.34</v>
      </c>
      <c r="K57" s="1" t="s">
        <v>41</v>
      </c>
      <c r="L57">
        <v>27890</v>
      </c>
      <c r="M57">
        <v>2556</v>
      </c>
      <c r="N57">
        <v>9.16</v>
      </c>
      <c r="O57" s="1" t="s">
        <v>20</v>
      </c>
      <c r="P57" s="3">
        <f>covid_data[[#This Row],[Deaths]]/covid_data[[#This Row],[Confirmed]]*100</f>
        <v>1.389345069959929</v>
      </c>
      <c r="Q57" s="2">
        <f>covid_data[[#This Row],[Recovered]]/covid_data[[#This Row],[Confirmed]]</f>
        <v>0.76338435262431847</v>
      </c>
      <c r="R57" s="3">
        <f>covid_data[[#This Row],[Active]]/covid_data[[#This Row],[Confirmed]]*100</f>
        <v>22.272219667608226</v>
      </c>
      <c r="S57" s="5" t="str">
        <f>IF(covid_data[[#This Row],[New deaths]]&gt;5,"High Risk","Low Risk")</f>
        <v>High Risk</v>
      </c>
      <c r="T57" s="6">
        <f>RANK(B57,covid_data[Confirmed],0)</f>
        <v>56</v>
      </c>
      <c r="U57" s="5" t="str">
        <f>_xlfn.IFS(B57&gt;50000,"Critical",B57&gt;10000,"High",B57&gt;5000,"Moderate",B57&gt;=10,"Low")</f>
        <v>High</v>
      </c>
    </row>
    <row r="58" spans="1:21" x14ac:dyDescent="0.35">
      <c r="A58" s="1" t="s">
        <v>21</v>
      </c>
      <c r="B58">
        <v>27973</v>
      </c>
      <c r="C58">
        <v>1163</v>
      </c>
      <c r="D58">
        <v>18837</v>
      </c>
      <c r="E58">
        <v>7973</v>
      </c>
      <c r="F58">
        <v>616</v>
      </c>
      <c r="G58">
        <v>8</v>
      </c>
      <c r="H58">
        <v>749</v>
      </c>
      <c r="I58">
        <v>4.16</v>
      </c>
      <c r="J58">
        <v>67.34</v>
      </c>
      <c r="K58" s="1" t="s">
        <v>22</v>
      </c>
      <c r="L58">
        <v>23691</v>
      </c>
      <c r="M58">
        <v>4282</v>
      </c>
      <c r="N58">
        <v>18.07</v>
      </c>
      <c r="O58" s="1" t="s">
        <v>23</v>
      </c>
      <c r="P58" s="3">
        <f>covid_data[[#This Row],[Deaths]]/covid_data[[#This Row],[Confirmed]]*100</f>
        <v>4.1575805240767885</v>
      </c>
      <c r="Q58" s="2">
        <f>covid_data[[#This Row],[Recovered]]/covid_data[[#This Row],[Confirmed]]</f>
        <v>0.67339934937260926</v>
      </c>
      <c r="R58" s="3">
        <f>covid_data[[#This Row],[Active]]/covid_data[[#This Row],[Confirmed]]*100</f>
        <v>28.50248453866228</v>
      </c>
      <c r="S58" s="5" t="str">
        <f>IF(covid_data[[#This Row],[New deaths]]&gt;5,"High Risk","Low Risk")</f>
        <v>High Risk</v>
      </c>
      <c r="T58" s="6">
        <f>RANK(B58,covid_data[Confirmed],0)</f>
        <v>57</v>
      </c>
      <c r="U58" s="5" t="str">
        <f>_xlfn.IFS(B58&gt;50000,"Critical",B58&gt;10000,"High",B58&gt;5000,"Moderate",B58&gt;=10,"Low")</f>
        <v>High</v>
      </c>
    </row>
    <row r="59" spans="1:21" x14ac:dyDescent="0.35">
      <c r="A59" s="1" t="s">
        <v>178</v>
      </c>
      <c r="B59">
        <v>25892</v>
      </c>
      <c r="C59">
        <v>1764</v>
      </c>
      <c r="D59">
        <v>23364</v>
      </c>
      <c r="E59">
        <v>764</v>
      </c>
      <c r="F59">
        <v>11</v>
      </c>
      <c r="G59">
        <v>0</v>
      </c>
      <c r="H59">
        <v>0</v>
      </c>
      <c r="I59">
        <v>6.81</v>
      </c>
      <c r="J59">
        <v>90.24</v>
      </c>
      <c r="K59" s="1" t="s">
        <v>179</v>
      </c>
      <c r="L59">
        <v>25766</v>
      </c>
      <c r="M59">
        <v>126</v>
      </c>
      <c r="N59">
        <v>0.49</v>
      </c>
      <c r="O59" s="1" t="s">
        <v>20</v>
      </c>
      <c r="P59" s="3">
        <f>covid_data[[#This Row],[Deaths]]/covid_data[[#This Row],[Confirmed]]*100</f>
        <v>6.8129151861578858</v>
      </c>
      <c r="Q59" s="2">
        <f>covid_data[[#This Row],[Recovered]]/covid_data[[#This Row],[Confirmed]]</f>
        <v>0.90236366445234051</v>
      </c>
      <c r="R59" s="3">
        <f>covid_data[[#This Row],[Active]]/covid_data[[#This Row],[Confirmed]]*100</f>
        <v>2.9507183686080642</v>
      </c>
      <c r="S59" s="5" t="str">
        <f>IF(covid_data[[#This Row],[New deaths]]&gt;5,"High Risk","Low Risk")</f>
        <v>Low Risk</v>
      </c>
      <c r="T59" s="6">
        <f>RANK(B59,covid_data[Confirmed],0)</f>
        <v>58</v>
      </c>
      <c r="U59" s="5" t="str">
        <f>_xlfn.IFS(B59&gt;50000,"Critical",B59&gt;10000,"High",B59&gt;5000,"Moderate",B59&gt;=10,"Low")</f>
        <v>High</v>
      </c>
    </row>
    <row r="60" spans="1:21" x14ac:dyDescent="0.35">
      <c r="A60" s="1" t="s">
        <v>294</v>
      </c>
      <c r="B60">
        <v>24141</v>
      </c>
      <c r="C60">
        <v>543</v>
      </c>
      <c r="D60">
        <v>0</v>
      </c>
      <c r="E60">
        <v>23598</v>
      </c>
      <c r="F60">
        <v>411</v>
      </c>
      <c r="G60">
        <v>9</v>
      </c>
      <c r="H60">
        <v>0</v>
      </c>
      <c r="I60">
        <v>2.25</v>
      </c>
      <c r="J60">
        <v>0</v>
      </c>
      <c r="K60" s="1" t="s">
        <v>85</v>
      </c>
      <c r="L60">
        <v>21253</v>
      </c>
      <c r="M60">
        <v>2888</v>
      </c>
      <c r="N60">
        <v>13.59</v>
      </c>
      <c r="O60" s="1" t="s">
        <v>20</v>
      </c>
      <c r="P60" s="3">
        <f>covid_data[[#This Row],[Deaths]]/covid_data[[#This Row],[Confirmed]]*100</f>
        <v>2.2492854479930409</v>
      </c>
      <c r="Q60" s="2">
        <f>covid_data[[#This Row],[Recovered]]/covid_data[[#This Row],[Confirmed]]</f>
        <v>0</v>
      </c>
      <c r="R60" s="3">
        <f>covid_data[[#This Row],[Active]]/covid_data[[#This Row],[Confirmed]]*100</f>
        <v>97.750714552006954</v>
      </c>
      <c r="S60" s="5" t="str">
        <f>IF(covid_data[[#This Row],[New deaths]]&gt;5,"High Risk","Low Risk")</f>
        <v>High Risk</v>
      </c>
      <c r="T60" s="6">
        <f>RANK(B60,covid_data[Confirmed],0)</f>
        <v>59</v>
      </c>
      <c r="U60" s="5" t="str">
        <f>_xlfn.IFS(B60&gt;50000,"Critical",B60&gt;10000,"High",B60&gt;5000,"Moderate",B60&gt;=10,"Low")</f>
        <v>High</v>
      </c>
    </row>
    <row r="61" spans="1:21" x14ac:dyDescent="0.35">
      <c r="A61" s="1" t="s">
        <v>233</v>
      </c>
      <c r="B61">
        <v>23154</v>
      </c>
      <c r="C61">
        <v>748</v>
      </c>
      <c r="D61">
        <v>16154</v>
      </c>
      <c r="E61">
        <v>6252</v>
      </c>
      <c r="F61">
        <v>120</v>
      </c>
      <c r="G61">
        <v>13</v>
      </c>
      <c r="H61">
        <v>245</v>
      </c>
      <c r="I61">
        <v>3.23</v>
      </c>
      <c r="J61">
        <v>69.77</v>
      </c>
      <c r="K61" s="1" t="s">
        <v>234</v>
      </c>
      <c r="L61">
        <v>21115</v>
      </c>
      <c r="M61">
        <v>2039</v>
      </c>
      <c r="N61">
        <v>9.66</v>
      </c>
      <c r="O61" s="1" t="s">
        <v>20</v>
      </c>
      <c r="P61" s="3">
        <f>covid_data[[#This Row],[Deaths]]/covid_data[[#This Row],[Confirmed]]*100</f>
        <v>3.2305433186490458</v>
      </c>
      <c r="Q61" s="2">
        <f>covid_data[[#This Row],[Recovered]]/covid_data[[#This Row],[Confirmed]]</f>
        <v>0.69767642739915348</v>
      </c>
      <c r="R61" s="3">
        <f>covid_data[[#This Row],[Active]]/covid_data[[#This Row],[Confirmed]]*100</f>
        <v>27.001813941435604</v>
      </c>
      <c r="S61" s="5" t="str">
        <f>IF(covid_data[[#This Row],[New deaths]]&gt;5,"High Risk","Low Risk")</f>
        <v>High Risk</v>
      </c>
      <c r="T61" s="6">
        <f>RANK(B61,covid_data[Confirmed],0)</f>
        <v>60</v>
      </c>
      <c r="U61" s="5" t="str">
        <f>_xlfn.IFS(B61&gt;50000,"Critical",B61&gt;10000,"High",B61&gt;5000,"Moderate",B61&gt;=10,"Low")</f>
        <v>High</v>
      </c>
    </row>
    <row r="62" spans="1:21" x14ac:dyDescent="0.35">
      <c r="A62" s="1" t="s">
        <v>348</v>
      </c>
      <c r="B62">
        <v>21209</v>
      </c>
      <c r="C62">
        <v>121</v>
      </c>
      <c r="D62">
        <v>11674</v>
      </c>
      <c r="E62">
        <v>9414</v>
      </c>
      <c r="F62">
        <v>678</v>
      </c>
      <c r="G62">
        <v>5</v>
      </c>
      <c r="H62">
        <v>569</v>
      </c>
      <c r="I62">
        <v>0.56999999999999995</v>
      </c>
      <c r="J62">
        <v>55.04</v>
      </c>
      <c r="K62" s="1" t="s">
        <v>349</v>
      </c>
      <c r="L62">
        <v>17149</v>
      </c>
      <c r="M62">
        <v>4060</v>
      </c>
      <c r="N62">
        <v>23.67</v>
      </c>
      <c r="O62" s="1" t="s">
        <v>20</v>
      </c>
      <c r="P62" s="3">
        <f>covid_data[[#This Row],[Deaths]]/covid_data[[#This Row],[Confirmed]]*100</f>
        <v>0.5705125182705455</v>
      </c>
      <c r="Q62" s="2">
        <f>covid_data[[#This Row],[Recovered]]/covid_data[[#This Row],[Confirmed]]</f>
        <v>0.55042670564383045</v>
      </c>
      <c r="R62" s="3">
        <f>covid_data[[#This Row],[Active]]/covid_data[[#This Row],[Confirmed]]*100</f>
        <v>44.386816917346408</v>
      </c>
      <c r="S62" s="5" t="str">
        <f>IF(covid_data[[#This Row],[New deaths]]&gt;5,"High Risk","Low Risk")</f>
        <v>Low Risk</v>
      </c>
      <c r="T62" s="6">
        <f>RANK(B62,covid_data[Confirmed],0)</f>
        <v>61</v>
      </c>
      <c r="U62" s="5" t="str">
        <f>_xlfn.IFS(B62&gt;50000,"Critical",B62&gt;10000,"High",B62&gt;5000,"Moderate",B62&gt;=10,"Low")</f>
        <v>High</v>
      </c>
    </row>
    <row r="63" spans="1:21" x14ac:dyDescent="0.35">
      <c r="A63" s="1" t="s">
        <v>240</v>
      </c>
      <c r="B63">
        <v>20887</v>
      </c>
      <c r="C63">
        <v>316</v>
      </c>
      <c r="D63">
        <v>16553</v>
      </c>
      <c r="E63">
        <v>4018</v>
      </c>
      <c r="F63">
        <v>609</v>
      </c>
      <c r="G63">
        <v>3</v>
      </c>
      <c r="H63">
        <v>115</v>
      </c>
      <c r="I63">
        <v>1.51</v>
      </c>
      <c r="J63">
        <v>79.25</v>
      </c>
      <c r="K63" s="1" t="s">
        <v>241</v>
      </c>
      <c r="L63">
        <v>17562</v>
      </c>
      <c r="M63">
        <v>3325</v>
      </c>
      <c r="N63">
        <v>18.93</v>
      </c>
      <c r="O63" s="1" t="s">
        <v>17</v>
      </c>
      <c r="P63" s="3">
        <f>covid_data[[#This Row],[Deaths]]/covid_data[[#This Row],[Confirmed]]*100</f>
        <v>1.5129027624838416</v>
      </c>
      <c r="Q63" s="2">
        <f>covid_data[[#This Row],[Recovered]]/covid_data[[#This Row],[Confirmed]]</f>
        <v>0.79250251352515921</v>
      </c>
      <c r="R63" s="3">
        <f>covid_data[[#This Row],[Active]]/covid_data[[#This Row],[Confirmed]]*100</f>
        <v>19.236845885000239</v>
      </c>
      <c r="S63" s="5" t="str">
        <f>IF(covid_data[[#This Row],[New deaths]]&gt;5,"High Risk","Low Risk")</f>
        <v>Low Risk</v>
      </c>
      <c r="T63" s="6">
        <f>RANK(B63,covid_data[Confirmed],0)</f>
        <v>62</v>
      </c>
      <c r="U63" s="5" t="str">
        <f>_xlfn.IFS(B63&gt;50000,"Critical",B63&gt;10000,"High",B63&gt;5000,"Moderate",B63&gt;=10,"Low")</f>
        <v>High</v>
      </c>
    </row>
    <row r="64" spans="1:21" x14ac:dyDescent="0.35">
      <c r="A64" s="1" t="s">
        <v>38</v>
      </c>
      <c r="B64">
        <v>20558</v>
      </c>
      <c r="C64">
        <v>713</v>
      </c>
      <c r="D64">
        <v>18246</v>
      </c>
      <c r="E64">
        <v>1599</v>
      </c>
      <c r="F64">
        <v>86</v>
      </c>
      <c r="G64">
        <v>1</v>
      </c>
      <c r="H64">
        <v>37</v>
      </c>
      <c r="I64">
        <v>3.47</v>
      </c>
      <c r="J64">
        <v>88.75</v>
      </c>
      <c r="K64" s="1" t="s">
        <v>39</v>
      </c>
      <c r="L64">
        <v>19743</v>
      </c>
      <c r="M64">
        <v>815</v>
      </c>
      <c r="N64">
        <v>4.13</v>
      </c>
      <c r="O64" s="1" t="s">
        <v>20</v>
      </c>
      <c r="P64" s="3">
        <f>covid_data[[#This Row],[Deaths]]/covid_data[[#This Row],[Confirmed]]*100</f>
        <v>3.4682362097480302</v>
      </c>
      <c r="Q64" s="2">
        <f>covid_data[[#This Row],[Recovered]]/covid_data[[#This Row],[Confirmed]]</f>
        <v>0.88753769821967121</v>
      </c>
      <c r="R64" s="3">
        <f>covid_data[[#This Row],[Active]]/covid_data[[#This Row],[Confirmed]]*100</f>
        <v>7.7779939682848518</v>
      </c>
      <c r="S64" s="5" t="str">
        <f>IF(covid_data[[#This Row],[New deaths]]&gt;5,"High Risk","Low Risk")</f>
        <v>Low Risk</v>
      </c>
      <c r="T64" s="6">
        <f>RANK(B64,covid_data[Confirmed],0)</f>
        <v>63</v>
      </c>
      <c r="U64" s="5" t="str">
        <f>_xlfn.IFS(B64&gt;50000,"Critical",B64&gt;10000,"High",B64&gt;5000,"Moderate",B64&gt;=10,"Low")</f>
        <v>High</v>
      </c>
    </row>
    <row r="65" spans="1:21" x14ac:dyDescent="0.35">
      <c r="A65" s="1" t="s">
        <v>245</v>
      </c>
      <c r="B65">
        <v>18752</v>
      </c>
      <c r="C65">
        <v>48</v>
      </c>
      <c r="D65">
        <v>13754</v>
      </c>
      <c r="E65">
        <v>4950</v>
      </c>
      <c r="F65">
        <v>139</v>
      </c>
      <c r="G65">
        <v>3</v>
      </c>
      <c r="H65">
        <v>626</v>
      </c>
      <c r="I65">
        <v>0.26</v>
      </c>
      <c r="J65">
        <v>73.349999999999994</v>
      </c>
      <c r="K65" s="1" t="s">
        <v>246</v>
      </c>
      <c r="L65">
        <v>17844</v>
      </c>
      <c r="M65">
        <v>908</v>
      </c>
      <c r="N65">
        <v>5.09</v>
      </c>
      <c r="O65" s="1" t="s">
        <v>48</v>
      </c>
      <c r="P65" s="3">
        <f>covid_data[[#This Row],[Deaths]]/covid_data[[#This Row],[Confirmed]]*100</f>
        <v>0.25597269624573377</v>
      </c>
      <c r="Q65" s="2">
        <f>covid_data[[#This Row],[Recovered]]/covid_data[[#This Row],[Confirmed]]</f>
        <v>0.73346843003412965</v>
      </c>
      <c r="R65" s="3">
        <f>covid_data[[#This Row],[Active]]/covid_data[[#This Row],[Confirmed]]*100</f>
        <v>26.397184300341298</v>
      </c>
      <c r="S65" s="5" t="str">
        <f>IF(covid_data[[#This Row],[New deaths]]&gt;5,"High Risk","Low Risk")</f>
        <v>Low Risk</v>
      </c>
      <c r="T65" s="6">
        <f>RANK(B65,covid_data[Confirmed],0)</f>
        <v>64</v>
      </c>
      <c r="U65" s="5" t="str">
        <f>_xlfn.IFS(B65&gt;50000,"Critical",B65&gt;10000,"High",B65&gt;5000,"Moderate",B65&gt;=10,"Low")</f>
        <v>High</v>
      </c>
    </row>
    <row r="66" spans="1:21" x14ac:dyDescent="0.35">
      <c r="A66" s="1" t="s">
        <v>192</v>
      </c>
      <c r="B66">
        <v>17975</v>
      </c>
      <c r="C66">
        <v>285</v>
      </c>
      <c r="D66">
        <v>7833</v>
      </c>
      <c r="E66">
        <v>9857</v>
      </c>
      <c r="F66">
        <v>372</v>
      </c>
      <c r="G66">
        <v>5</v>
      </c>
      <c r="H66">
        <v>90</v>
      </c>
      <c r="I66">
        <v>1.59</v>
      </c>
      <c r="J66">
        <v>43.58</v>
      </c>
      <c r="K66" s="1" t="s">
        <v>193</v>
      </c>
      <c r="L66">
        <v>13771</v>
      </c>
      <c r="M66">
        <v>4204</v>
      </c>
      <c r="N66">
        <v>30.53</v>
      </c>
      <c r="O66" s="1" t="s">
        <v>23</v>
      </c>
      <c r="P66" s="3">
        <f>covid_data[[#This Row],[Deaths]]/covid_data[[#This Row],[Confirmed]]*100</f>
        <v>1.5855354659248957</v>
      </c>
      <c r="Q66" s="2">
        <f>covid_data[[#This Row],[Recovered]]/covid_data[[#This Row],[Confirmed]]</f>
        <v>0.4357719054242003</v>
      </c>
      <c r="R66" s="3">
        <f>covid_data[[#This Row],[Active]]/covid_data[[#This Row],[Confirmed]]*100</f>
        <v>54.837273991655081</v>
      </c>
      <c r="S66" s="5" t="str">
        <f>IF(covid_data[[#This Row],[New deaths]]&gt;5,"High Risk","Low Risk")</f>
        <v>Low Risk</v>
      </c>
      <c r="T66" s="6">
        <f>RANK(B66,covid_data[Confirmed],0)</f>
        <v>65</v>
      </c>
      <c r="U66" s="5" t="str">
        <f>_xlfn.IFS(B66&gt;50000,"Critical",B66&gt;10000,"High",B66&gt;5000,"Moderate",B66&gt;=10,"Low")</f>
        <v>High</v>
      </c>
    </row>
    <row r="67" spans="1:21" x14ac:dyDescent="0.35">
      <c r="A67" s="1" t="s">
        <v>82</v>
      </c>
      <c r="B67">
        <v>17110</v>
      </c>
      <c r="C67">
        <v>391</v>
      </c>
      <c r="D67">
        <v>14539</v>
      </c>
      <c r="E67">
        <v>2180</v>
      </c>
      <c r="F67">
        <v>402</v>
      </c>
      <c r="G67">
        <v>6</v>
      </c>
      <c r="H67">
        <v>0</v>
      </c>
      <c r="I67">
        <v>2.29</v>
      </c>
      <c r="J67">
        <v>84.97</v>
      </c>
      <c r="K67" s="1" t="s">
        <v>83</v>
      </c>
      <c r="L67">
        <v>16157</v>
      </c>
      <c r="M67">
        <v>953</v>
      </c>
      <c r="N67">
        <v>5.9</v>
      </c>
      <c r="O67" s="1" t="s">
        <v>23</v>
      </c>
      <c r="P67" s="3">
        <f>covid_data[[#This Row],[Deaths]]/covid_data[[#This Row],[Confirmed]]*100</f>
        <v>2.2852133255406195</v>
      </c>
      <c r="Q67" s="2">
        <f>covid_data[[#This Row],[Recovered]]/covid_data[[#This Row],[Confirmed]]</f>
        <v>0.84973699590882523</v>
      </c>
      <c r="R67" s="3">
        <f>covid_data[[#This Row],[Active]]/covid_data[[#This Row],[Confirmed]]*100</f>
        <v>12.741087083576854</v>
      </c>
      <c r="S67" s="5" t="str">
        <f>IF(covid_data[[#This Row],[New deaths]]&gt;5,"High Risk","Low Risk")</f>
        <v>High Risk</v>
      </c>
      <c r="T67" s="6">
        <f>RANK(B67,covid_data[Confirmed],0)</f>
        <v>66</v>
      </c>
      <c r="U67" s="5" t="str">
        <f>_xlfn.IFS(B67&gt;50000,"Critical",B67&gt;10000,"High",B67&gt;5000,"Moderate",B67&gt;=10,"Low")</f>
        <v>High</v>
      </c>
    </row>
    <row r="68" spans="1:21" x14ac:dyDescent="0.35">
      <c r="A68" s="1" t="s">
        <v>350</v>
      </c>
      <c r="B68">
        <v>15988</v>
      </c>
      <c r="C68">
        <v>146</v>
      </c>
      <c r="D68">
        <v>9959</v>
      </c>
      <c r="E68">
        <v>5883</v>
      </c>
      <c r="F68">
        <v>525</v>
      </c>
      <c r="G68">
        <v>4</v>
      </c>
      <c r="H68">
        <v>213</v>
      </c>
      <c r="I68">
        <v>0.91</v>
      </c>
      <c r="J68">
        <v>62.29</v>
      </c>
      <c r="K68" s="1" t="s">
        <v>351</v>
      </c>
      <c r="L68">
        <v>12334</v>
      </c>
      <c r="M68">
        <v>3654</v>
      </c>
      <c r="N68">
        <v>29.63</v>
      </c>
      <c r="O68" s="1" t="s">
        <v>30</v>
      </c>
      <c r="P68" s="3">
        <f>covid_data[[#This Row],[Deaths]]/covid_data[[#This Row],[Confirmed]]*100</f>
        <v>0.91318488866649983</v>
      </c>
      <c r="Q68" s="2">
        <f>covid_data[[#This Row],[Recovered]]/covid_data[[#This Row],[Confirmed]]</f>
        <v>0.62290467850888165</v>
      </c>
      <c r="R68" s="3">
        <f>covid_data[[#This Row],[Active]]/covid_data[[#This Row],[Confirmed]]*100</f>
        <v>36.79634726044533</v>
      </c>
      <c r="S68" s="5" t="str">
        <f>IF(covid_data[[#This Row],[New deaths]]&gt;5,"High Risk","Low Risk")</f>
        <v>Low Risk</v>
      </c>
      <c r="T68" s="6">
        <f>RANK(B68,covid_data[Confirmed],0)</f>
        <v>67</v>
      </c>
      <c r="U68" s="5" t="str">
        <f>_xlfn.IFS(B68&gt;50000,"Critical",B68&gt;10000,"High",B68&gt;5000,"Moderate",B68&gt;=10,"Low")</f>
        <v>High</v>
      </c>
    </row>
    <row r="69" spans="1:21" x14ac:dyDescent="0.35">
      <c r="A69" s="1" t="s">
        <v>102</v>
      </c>
      <c r="B69">
        <v>15841</v>
      </c>
      <c r="C69">
        <v>115</v>
      </c>
      <c r="D69">
        <v>3824</v>
      </c>
      <c r="E69">
        <v>11902</v>
      </c>
      <c r="F69">
        <v>612</v>
      </c>
      <c r="G69">
        <v>11</v>
      </c>
      <c r="H69">
        <v>88</v>
      </c>
      <c r="I69">
        <v>0.73</v>
      </c>
      <c r="J69">
        <v>24.14</v>
      </c>
      <c r="K69" s="1" t="s">
        <v>103</v>
      </c>
      <c r="L69">
        <v>11534</v>
      </c>
      <c r="M69">
        <v>4307</v>
      </c>
      <c r="N69">
        <v>37.340000000000003</v>
      </c>
      <c r="O69" s="1" t="s">
        <v>30</v>
      </c>
      <c r="P69" s="3">
        <f>covid_data[[#This Row],[Deaths]]/covid_data[[#This Row],[Confirmed]]*100</f>
        <v>0.72596426993245378</v>
      </c>
      <c r="Q69" s="2">
        <f>covid_data[[#This Row],[Recovered]]/covid_data[[#This Row],[Confirmed]]</f>
        <v>0.24139890158449592</v>
      </c>
      <c r="R69" s="3">
        <f>covid_data[[#This Row],[Active]]/covid_data[[#This Row],[Confirmed]]*100</f>
        <v>75.13414557161795</v>
      </c>
      <c r="S69" s="5" t="str">
        <f>IF(covid_data[[#This Row],[New deaths]]&gt;5,"High Risk","Low Risk")</f>
        <v>High Risk</v>
      </c>
      <c r="T69" s="6">
        <f>RANK(B69,covid_data[Confirmed],0)</f>
        <v>68</v>
      </c>
      <c r="U69" s="5" t="str">
        <f>_xlfn.IFS(B69&gt;50000,"Critical",B69&gt;10000,"High",B69&gt;5000,"Moderate",B69&gt;=10,"Low")</f>
        <v>High</v>
      </c>
    </row>
    <row r="70" spans="1:21" x14ac:dyDescent="0.35">
      <c r="A70" s="1" t="s">
        <v>104</v>
      </c>
      <c r="B70">
        <v>15655</v>
      </c>
      <c r="C70">
        <v>96</v>
      </c>
      <c r="D70">
        <v>10361</v>
      </c>
      <c r="E70">
        <v>5198</v>
      </c>
      <c r="F70">
        <v>59</v>
      </c>
      <c r="G70">
        <v>0</v>
      </c>
      <c r="H70">
        <v>183</v>
      </c>
      <c r="I70">
        <v>0.61</v>
      </c>
      <c r="J70">
        <v>66.180000000000007</v>
      </c>
      <c r="K70" s="1" t="s">
        <v>105</v>
      </c>
      <c r="L70">
        <v>14312</v>
      </c>
      <c r="M70">
        <v>1343</v>
      </c>
      <c r="N70">
        <v>9.3800000000000008</v>
      </c>
      <c r="O70" s="1" t="s">
        <v>23</v>
      </c>
      <c r="P70" s="3">
        <f>covid_data[[#This Row],[Deaths]]/covid_data[[#This Row],[Confirmed]]*100</f>
        <v>0.61322261258383903</v>
      </c>
      <c r="Q70" s="2">
        <f>covid_data[[#This Row],[Recovered]]/covid_data[[#This Row],[Confirmed]]</f>
        <v>0.66183328010220377</v>
      </c>
      <c r="R70" s="3">
        <f>covid_data[[#This Row],[Active]]/covid_data[[#This Row],[Confirmed]]*100</f>
        <v>33.203449377195781</v>
      </c>
      <c r="S70" s="5" t="str">
        <f>IF(covid_data[[#This Row],[New deaths]]&gt;5,"High Risk","Low Risk")</f>
        <v>Low Risk</v>
      </c>
      <c r="T70" s="6">
        <f>RANK(B70,covid_data[Confirmed],0)</f>
        <v>69</v>
      </c>
      <c r="U70" s="5" t="str">
        <f>_xlfn.IFS(B70&gt;50000,"Critical",B70&gt;10000,"High",B70&gt;5000,"Moderate",B70&gt;=10,"Low")</f>
        <v>High</v>
      </c>
    </row>
    <row r="71" spans="1:21" x14ac:dyDescent="0.35">
      <c r="A71" s="1" t="s">
        <v>112</v>
      </c>
      <c r="B71">
        <v>15516</v>
      </c>
      <c r="C71">
        <v>373</v>
      </c>
      <c r="D71">
        <v>11428</v>
      </c>
      <c r="E71">
        <v>3715</v>
      </c>
      <c r="F71">
        <v>192</v>
      </c>
      <c r="G71">
        <v>2</v>
      </c>
      <c r="H71">
        <v>0</v>
      </c>
      <c r="I71">
        <v>2.4</v>
      </c>
      <c r="J71">
        <v>73.650000000000006</v>
      </c>
      <c r="K71" s="1" t="s">
        <v>113</v>
      </c>
      <c r="L71">
        <v>14098</v>
      </c>
      <c r="M71">
        <v>1418</v>
      </c>
      <c r="N71">
        <v>10.06</v>
      </c>
      <c r="O71" s="1" t="s">
        <v>20</v>
      </c>
      <c r="P71" s="3">
        <f>covid_data[[#This Row],[Deaths]]/covid_data[[#This Row],[Confirmed]]*100</f>
        <v>2.4039700953854086</v>
      </c>
      <c r="Q71" s="2">
        <f>covid_data[[#This Row],[Recovered]]/covid_data[[#This Row],[Confirmed]]</f>
        <v>0.7365300335137922</v>
      </c>
      <c r="R71" s="3">
        <f>covid_data[[#This Row],[Active]]/covid_data[[#This Row],[Confirmed]]*100</f>
        <v>23.94302655323537</v>
      </c>
      <c r="S71" s="5" t="str">
        <f>IF(covid_data[[#This Row],[New deaths]]&gt;5,"High Risk","Low Risk")</f>
        <v>Low Risk</v>
      </c>
      <c r="T71" s="6">
        <f>RANK(B71,covid_data[Confirmed],0)</f>
        <v>70</v>
      </c>
      <c r="U71" s="5" t="str">
        <f>_xlfn.IFS(B71&gt;50000,"Critical",B71&gt;10000,"High",B71&gt;5000,"Moderate",B71&gt;=10,"Low")</f>
        <v>High</v>
      </c>
    </row>
    <row r="72" spans="1:21" x14ac:dyDescent="0.35">
      <c r="A72" s="1" t="s">
        <v>35</v>
      </c>
      <c r="B72">
        <v>15303</v>
      </c>
      <c r="C72">
        <v>167</v>
      </c>
      <c r="D72">
        <v>9311</v>
      </c>
      <c r="E72">
        <v>5825</v>
      </c>
      <c r="F72">
        <v>368</v>
      </c>
      <c r="G72">
        <v>6</v>
      </c>
      <c r="H72">
        <v>137</v>
      </c>
      <c r="I72">
        <v>1.0900000000000001</v>
      </c>
      <c r="J72">
        <v>60.84</v>
      </c>
      <c r="K72" s="1" t="s">
        <v>36</v>
      </c>
      <c r="L72">
        <v>12428</v>
      </c>
      <c r="M72">
        <v>2875</v>
      </c>
      <c r="N72">
        <v>23.13</v>
      </c>
      <c r="O72" s="1" t="s">
        <v>37</v>
      </c>
      <c r="P72" s="3">
        <f>covid_data[[#This Row],[Deaths]]/covid_data[[#This Row],[Confirmed]]*100</f>
        <v>1.0912892896817616</v>
      </c>
      <c r="Q72" s="2">
        <f>covid_data[[#This Row],[Recovered]]/covid_data[[#This Row],[Confirmed]]</f>
        <v>0.60844278899562176</v>
      </c>
      <c r="R72" s="3">
        <f>covid_data[[#This Row],[Active]]/covid_data[[#This Row],[Confirmed]]*100</f>
        <v>38.064431810756062</v>
      </c>
      <c r="S72" s="5" t="str">
        <f>IF(covid_data[[#This Row],[New deaths]]&gt;5,"High Risk","Low Risk")</f>
        <v>High Risk</v>
      </c>
      <c r="T72" s="6">
        <f>RANK(B72,covid_data[Confirmed],0)</f>
        <v>71</v>
      </c>
      <c r="U72" s="5" t="str">
        <f>_xlfn.IFS(B72&gt;50000,"Critical",B72&gt;10000,"High",B72&gt;5000,"Moderate",B72&gt;=10,"Low")</f>
        <v>High</v>
      </c>
    </row>
    <row r="73" spans="1:21" x14ac:dyDescent="0.35">
      <c r="A73" s="1" t="s">
        <v>125</v>
      </c>
      <c r="B73">
        <v>15035</v>
      </c>
      <c r="C73">
        <v>408</v>
      </c>
      <c r="D73">
        <v>7778</v>
      </c>
      <c r="E73">
        <v>6849</v>
      </c>
      <c r="F73">
        <v>405</v>
      </c>
      <c r="G73">
        <v>8</v>
      </c>
      <c r="H73">
        <v>130</v>
      </c>
      <c r="I73">
        <v>2.71</v>
      </c>
      <c r="J73">
        <v>51.73</v>
      </c>
      <c r="K73" s="1" t="s">
        <v>19</v>
      </c>
      <c r="L73">
        <v>12207</v>
      </c>
      <c r="M73">
        <v>2828</v>
      </c>
      <c r="N73">
        <v>23.17</v>
      </c>
      <c r="O73" s="1" t="s">
        <v>30</v>
      </c>
      <c r="P73" s="3">
        <f>covid_data[[#This Row],[Deaths]]/covid_data[[#This Row],[Confirmed]]*100</f>
        <v>2.7136681077485867</v>
      </c>
      <c r="Q73" s="2">
        <f>covid_data[[#This Row],[Recovered]]/covid_data[[#This Row],[Confirmed]]</f>
        <v>0.51732623877618888</v>
      </c>
      <c r="R73" s="3">
        <f>covid_data[[#This Row],[Active]]/covid_data[[#This Row],[Confirmed]]*100</f>
        <v>45.553708014632527</v>
      </c>
      <c r="S73" s="5" t="str">
        <f>IF(covid_data[[#This Row],[New deaths]]&gt;5,"High Risk","Low Risk")</f>
        <v>High Risk</v>
      </c>
      <c r="T73" s="6">
        <f>RANK(B73,covid_data[Confirmed],0)</f>
        <v>72</v>
      </c>
      <c r="U73" s="5" t="str">
        <f>_xlfn.IFS(B73&gt;50000,"Critical",B73&gt;10000,"High",B73&gt;5000,"Moderate",B73&gt;=10,"Low")</f>
        <v>High</v>
      </c>
    </row>
    <row r="74" spans="1:21" x14ac:dyDescent="0.35">
      <c r="A74" s="1" t="s">
        <v>132</v>
      </c>
      <c r="B74">
        <v>14547</v>
      </c>
      <c r="C74">
        <v>228</v>
      </c>
      <c r="D74">
        <v>6386</v>
      </c>
      <c r="E74">
        <v>7933</v>
      </c>
      <c r="F74">
        <v>579</v>
      </c>
      <c r="G74">
        <v>5</v>
      </c>
      <c r="H74">
        <v>170</v>
      </c>
      <c r="I74">
        <v>1.57</v>
      </c>
      <c r="J74">
        <v>43.9</v>
      </c>
      <c r="K74" s="1" t="s">
        <v>133</v>
      </c>
      <c r="L74">
        <v>10207</v>
      </c>
      <c r="M74">
        <v>4340</v>
      </c>
      <c r="N74">
        <v>42.52</v>
      </c>
      <c r="O74" s="1" t="s">
        <v>23</v>
      </c>
      <c r="P74" s="3">
        <f>covid_data[[#This Row],[Deaths]]/covid_data[[#This Row],[Confirmed]]*100</f>
        <v>1.5673334708187256</v>
      </c>
      <c r="Q74" s="2">
        <f>covid_data[[#This Row],[Recovered]]/covid_data[[#This Row],[Confirmed]]</f>
        <v>0.43899085722142023</v>
      </c>
      <c r="R74" s="3">
        <f>covid_data[[#This Row],[Active]]/covid_data[[#This Row],[Confirmed]]*100</f>
        <v>54.53358080703925</v>
      </c>
      <c r="S74" s="5" t="str">
        <f>IF(covid_data[[#This Row],[New deaths]]&gt;5,"High Risk","Low Risk")</f>
        <v>Low Risk</v>
      </c>
      <c r="T74" s="6">
        <f>RANK(B74,covid_data[Confirmed],0)</f>
        <v>73</v>
      </c>
      <c r="U74" s="5" t="str">
        <f>_xlfn.IFS(B74&gt;50000,"Critical",B74&gt;10000,"High",B74&gt;5000,"Moderate",B74&gt;=10,"Low")</f>
        <v>High</v>
      </c>
    </row>
    <row r="75" spans="1:21" x14ac:dyDescent="0.35">
      <c r="A75" s="1" t="s">
        <v>307</v>
      </c>
      <c r="B75">
        <v>14203</v>
      </c>
      <c r="C75">
        <v>300</v>
      </c>
      <c r="D75">
        <v>13007</v>
      </c>
      <c r="E75">
        <v>896</v>
      </c>
      <c r="F75">
        <v>28</v>
      </c>
      <c r="G75">
        <v>1</v>
      </c>
      <c r="H75">
        <v>102</v>
      </c>
      <c r="I75">
        <v>2.11</v>
      </c>
      <c r="J75">
        <v>91.58</v>
      </c>
      <c r="K75" s="1" t="s">
        <v>308</v>
      </c>
      <c r="L75">
        <v>13816</v>
      </c>
      <c r="M75">
        <v>387</v>
      </c>
      <c r="N75">
        <v>2.8</v>
      </c>
      <c r="O75" s="1" t="s">
        <v>37</v>
      </c>
      <c r="P75" s="3">
        <f>covid_data[[#This Row],[Deaths]]/covid_data[[#This Row],[Confirmed]]*100</f>
        <v>2.1122298106033934</v>
      </c>
      <c r="Q75" s="2">
        <f>covid_data[[#This Row],[Recovered]]/covid_data[[#This Row],[Confirmed]]</f>
        <v>0.91579243821727807</v>
      </c>
      <c r="R75" s="3">
        <f>covid_data[[#This Row],[Active]]/covid_data[[#This Row],[Confirmed]]*100</f>
        <v>6.3085263676688026</v>
      </c>
      <c r="S75" s="5" t="str">
        <f>IF(covid_data[[#This Row],[New deaths]]&gt;5,"High Risk","Low Risk")</f>
        <v>Low Risk</v>
      </c>
      <c r="T75" s="6">
        <f>RANK(B75,covid_data[Confirmed],0)</f>
        <v>74</v>
      </c>
      <c r="U75" s="5" t="str">
        <f>_xlfn.IFS(B75&gt;50000,"Critical",B75&gt;10000,"High",B75&gt;5000,"Moderate",B75&gt;=10,"Low")</f>
        <v>High</v>
      </c>
    </row>
    <row r="76" spans="1:21" x14ac:dyDescent="0.35">
      <c r="A76" s="1" t="s">
        <v>114</v>
      </c>
      <c r="B76">
        <v>13761</v>
      </c>
      <c r="C76">
        <v>613</v>
      </c>
      <c r="D76">
        <v>12605</v>
      </c>
      <c r="E76">
        <v>543</v>
      </c>
      <c r="F76">
        <v>109</v>
      </c>
      <c r="G76">
        <v>0</v>
      </c>
      <c r="H76">
        <v>77</v>
      </c>
      <c r="I76">
        <v>4.45</v>
      </c>
      <c r="J76">
        <v>91.6</v>
      </c>
      <c r="K76" s="1" t="s">
        <v>115</v>
      </c>
      <c r="L76">
        <v>13453</v>
      </c>
      <c r="M76">
        <v>308</v>
      </c>
      <c r="N76">
        <v>2.29</v>
      </c>
      <c r="O76" s="1" t="s">
        <v>20</v>
      </c>
      <c r="P76" s="3">
        <f>covid_data[[#This Row],[Deaths]]/covid_data[[#This Row],[Confirmed]]*100</f>
        <v>4.4546181236828719</v>
      </c>
      <c r="Q76" s="2">
        <f>covid_data[[#This Row],[Recovered]]/covid_data[[#This Row],[Confirmed]]</f>
        <v>0.91599447714555626</v>
      </c>
      <c r="R76" s="3">
        <f>covid_data[[#This Row],[Active]]/covid_data[[#This Row],[Confirmed]]*100</f>
        <v>3.9459341617614996</v>
      </c>
      <c r="S76" s="5" t="str">
        <f>IF(covid_data[[#This Row],[New deaths]]&gt;5,"High Risk","Low Risk")</f>
        <v>Low Risk</v>
      </c>
      <c r="T76" s="6">
        <f>RANK(B76,covid_data[Confirmed],0)</f>
        <v>75</v>
      </c>
      <c r="U76" s="5" t="str">
        <f>_xlfn.IFS(B76&gt;50000,"Critical",B76&gt;10000,"High",B76&gt;5000,"Moderate",B76&gt;=10,"Low")</f>
        <v>High</v>
      </c>
    </row>
    <row r="77" spans="1:21" x14ac:dyDescent="0.35">
      <c r="A77" s="1" t="s">
        <v>314</v>
      </c>
      <c r="B77">
        <v>11424</v>
      </c>
      <c r="C77">
        <v>720</v>
      </c>
      <c r="D77">
        <v>5939</v>
      </c>
      <c r="E77">
        <v>4765</v>
      </c>
      <c r="F77">
        <v>39</v>
      </c>
      <c r="G77">
        <v>3</v>
      </c>
      <c r="H77">
        <v>49</v>
      </c>
      <c r="I77">
        <v>6.3</v>
      </c>
      <c r="J77">
        <v>51.99</v>
      </c>
      <c r="K77" s="1" t="s">
        <v>142</v>
      </c>
      <c r="L77">
        <v>10992</v>
      </c>
      <c r="M77">
        <v>432</v>
      </c>
      <c r="N77">
        <v>3.93</v>
      </c>
      <c r="O77" s="1" t="s">
        <v>17</v>
      </c>
      <c r="P77" s="3">
        <f>covid_data[[#This Row],[Deaths]]/covid_data[[#This Row],[Confirmed]]*100</f>
        <v>6.3025210084033612</v>
      </c>
      <c r="Q77" s="2">
        <f>covid_data[[#This Row],[Recovered]]/covid_data[[#This Row],[Confirmed]]</f>
        <v>0.51987044817927175</v>
      </c>
      <c r="R77" s="3">
        <f>covid_data[[#This Row],[Active]]/covid_data[[#This Row],[Confirmed]]*100</f>
        <v>41.710434173669469</v>
      </c>
      <c r="S77" s="5" t="str">
        <f>IF(covid_data[[#This Row],[New deaths]]&gt;5,"High Risk","Low Risk")</f>
        <v>Low Risk</v>
      </c>
      <c r="T77" s="6">
        <f>RANK(B77,covid_data[Confirmed],0)</f>
        <v>76</v>
      </c>
      <c r="U77" s="5" t="str">
        <f>_xlfn.IFS(B77&gt;50000,"Critical",B77&gt;10000,"High",B77&gt;5000,"Moderate",B77&gt;=10,"Low")</f>
        <v>High</v>
      </c>
    </row>
    <row r="78" spans="1:21" x14ac:dyDescent="0.35">
      <c r="A78" s="1" t="s">
        <v>71</v>
      </c>
      <c r="B78">
        <v>10621</v>
      </c>
      <c r="C78">
        <v>347</v>
      </c>
      <c r="D78">
        <v>5585</v>
      </c>
      <c r="E78">
        <v>4689</v>
      </c>
      <c r="F78">
        <v>194</v>
      </c>
      <c r="G78">
        <v>7</v>
      </c>
      <c r="H78">
        <v>230</v>
      </c>
      <c r="I78">
        <v>3.27</v>
      </c>
      <c r="J78">
        <v>52.58</v>
      </c>
      <c r="K78" s="1" t="s">
        <v>72</v>
      </c>
      <c r="L78">
        <v>8929</v>
      </c>
      <c r="M78">
        <v>1692</v>
      </c>
      <c r="N78">
        <v>18.95</v>
      </c>
      <c r="O78" s="1" t="s">
        <v>20</v>
      </c>
      <c r="P78" s="3">
        <f>covid_data[[#This Row],[Deaths]]/covid_data[[#This Row],[Confirmed]]*100</f>
        <v>3.2671123246398639</v>
      </c>
      <c r="Q78" s="2">
        <f>covid_data[[#This Row],[Recovered]]/covid_data[[#This Row],[Confirmed]]</f>
        <v>0.52584502400903865</v>
      </c>
      <c r="R78" s="3">
        <f>covid_data[[#This Row],[Active]]/covid_data[[#This Row],[Confirmed]]*100</f>
        <v>44.148385274456267</v>
      </c>
      <c r="S78" s="5" t="str">
        <f>IF(covid_data[[#This Row],[New deaths]]&gt;5,"High Risk","Low Risk")</f>
        <v>High Risk</v>
      </c>
      <c r="T78" s="6">
        <f>RANK(B78,covid_data[Confirmed],0)</f>
        <v>77</v>
      </c>
      <c r="U78" s="5" t="str">
        <f>_xlfn.IFS(B78&gt;50000,"Critical",B78&gt;10000,"High",B78&gt;5000,"Moderate",B78&gt;=10,"Low")</f>
        <v>High</v>
      </c>
    </row>
    <row r="79" spans="1:21" x14ac:dyDescent="0.35">
      <c r="A79" s="1" t="s">
        <v>353</v>
      </c>
      <c r="B79">
        <v>10621</v>
      </c>
      <c r="C79">
        <v>78</v>
      </c>
      <c r="D79">
        <v>3752</v>
      </c>
      <c r="E79">
        <v>6791</v>
      </c>
      <c r="F79">
        <v>152</v>
      </c>
      <c r="G79">
        <v>2</v>
      </c>
      <c r="H79">
        <v>0</v>
      </c>
      <c r="I79">
        <v>0.73</v>
      </c>
      <c r="J79">
        <v>35.33</v>
      </c>
      <c r="K79" s="1" t="s">
        <v>354</v>
      </c>
      <c r="L79">
        <v>8916</v>
      </c>
      <c r="M79">
        <v>1705</v>
      </c>
      <c r="N79">
        <v>19.12</v>
      </c>
      <c r="O79" s="1" t="s">
        <v>17</v>
      </c>
      <c r="P79" s="3">
        <f>covid_data[[#This Row],[Deaths]]/covid_data[[#This Row],[Confirmed]]*100</f>
        <v>0.73439412484700128</v>
      </c>
      <c r="Q79" s="2">
        <f>covid_data[[#This Row],[Recovered]]/covid_data[[#This Row],[Confirmed]]</f>
        <v>0.35326240466999342</v>
      </c>
      <c r="R79" s="3">
        <f>covid_data[[#This Row],[Active]]/covid_data[[#This Row],[Confirmed]]*100</f>
        <v>63.939365408153662</v>
      </c>
      <c r="S79" s="5" t="str">
        <f>IF(covid_data[[#This Row],[New deaths]]&gt;5,"High Risk","Low Risk")</f>
        <v>Low Risk</v>
      </c>
      <c r="T79" s="6">
        <f>RANK(B79,covid_data[Confirmed],0)</f>
        <v>77</v>
      </c>
      <c r="U79" s="5" t="str">
        <f>_xlfn.IFS(B79&gt;50000,"Critical",B79&gt;10000,"High",B79&gt;5000,"Moderate",B79&gt;=10,"Low")</f>
        <v>High</v>
      </c>
    </row>
    <row r="80" spans="1:21" x14ac:dyDescent="0.35">
      <c r="A80" s="1" t="s">
        <v>63</v>
      </c>
      <c r="B80">
        <v>10498</v>
      </c>
      <c r="C80">
        <v>294</v>
      </c>
      <c r="D80">
        <v>4930</v>
      </c>
      <c r="E80">
        <v>5274</v>
      </c>
      <c r="F80">
        <v>731</v>
      </c>
      <c r="G80">
        <v>14</v>
      </c>
      <c r="H80">
        <v>375</v>
      </c>
      <c r="I80">
        <v>2.8</v>
      </c>
      <c r="J80">
        <v>46.96</v>
      </c>
      <c r="K80" s="1" t="s">
        <v>64</v>
      </c>
      <c r="L80">
        <v>8479</v>
      </c>
      <c r="M80">
        <v>2019</v>
      </c>
      <c r="N80">
        <v>23.81</v>
      </c>
      <c r="O80" s="1" t="s">
        <v>20</v>
      </c>
      <c r="P80" s="3">
        <f>covid_data[[#This Row],[Deaths]]/covid_data[[#This Row],[Confirmed]]*100</f>
        <v>2.8005334349399886</v>
      </c>
      <c r="Q80" s="2">
        <f>covid_data[[#This Row],[Recovered]]/covid_data[[#This Row],[Confirmed]]</f>
        <v>0.46961325966850831</v>
      </c>
      <c r="R80" s="3">
        <f>covid_data[[#This Row],[Active]]/covid_data[[#This Row],[Confirmed]]*100</f>
        <v>50.238140598209178</v>
      </c>
      <c r="S80" s="5" t="str">
        <f>IF(covid_data[[#This Row],[New deaths]]&gt;5,"High Risk","Low Risk")</f>
        <v>High Risk</v>
      </c>
      <c r="T80" s="6">
        <f>RANK(B80,covid_data[Confirmed],0)</f>
        <v>79</v>
      </c>
      <c r="U80" s="5" t="str">
        <f>_xlfn.IFS(B80&gt;50000,"Critical",B80&gt;10000,"High",B80&gt;5000,"Moderate",B80&gt;=10,"Low")</f>
        <v>High</v>
      </c>
    </row>
    <row r="81" spans="1:21" x14ac:dyDescent="0.35">
      <c r="A81" s="1" t="s">
        <v>256</v>
      </c>
      <c r="B81">
        <v>10213</v>
      </c>
      <c r="C81">
        <v>466</v>
      </c>
      <c r="D81">
        <v>5564</v>
      </c>
      <c r="E81">
        <v>4183</v>
      </c>
      <c r="F81">
        <v>127</v>
      </c>
      <c r="G81">
        <v>6</v>
      </c>
      <c r="H81">
        <v>137</v>
      </c>
      <c r="I81">
        <v>4.5599999999999996</v>
      </c>
      <c r="J81">
        <v>54.48</v>
      </c>
      <c r="K81" s="1" t="s">
        <v>257</v>
      </c>
      <c r="L81">
        <v>9249</v>
      </c>
      <c r="M81">
        <v>964</v>
      </c>
      <c r="N81">
        <v>10.42</v>
      </c>
      <c r="O81" s="1" t="s">
        <v>20</v>
      </c>
      <c r="P81" s="3">
        <f>covid_data[[#This Row],[Deaths]]/covid_data[[#This Row],[Confirmed]]*100</f>
        <v>4.562812102222658</v>
      </c>
      <c r="Q81" s="2">
        <f>covid_data[[#This Row],[Recovered]]/covid_data[[#This Row],[Confirmed]]</f>
        <v>0.54479584842847351</v>
      </c>
      <c r="R81" s="3">
        <f>covid_data[[#This Row],[Active]]/covid_data[[#This Row],[Confirmed]]*100</f>
        <v>40.95760305492999</v>
      </c>
      <c r="S81" s="5" t="str">
        <f>IF(covid_data[[#This Row],[New deaths]]&gt;5,"High Risk","Low Risk")</f>
        <v>High Risk</v>
      </c>
      <c r="T81" s="6">
        <f>RANK(B81,covid_data[Confirmed],0)</f>
        <v>80</v>
      </c>
      <c r="U81" s="5" t="str">
        <f>_xlfn.IFS(B81&gt;50000,"Critical",B81&gt;10000,"High",B81&gt;5000,"Moderate",B81&gt;=10,"Low")</f>
        <v>High</v>
      </c>
    </row>
    <row r="82" spans="1:21" x14ac:dyDescent="0.35">
      <c r="A82" s="1" t="s">
        <v>292</v>
      </c>
      <c r="B82">
        <v>9764</v>
      </c>
      <c r="C82">
        <v>194</v>
      </c>
      <c r="D82">
        <v>6477</v>
      </c>
      <c r="E82">
        <v>3093</v>
      </c>
      <c r="F82">
        <v>83</v>
      </c>
      <c r="G82">
        <v>3</v>
      </c>
      <c r="H82">
        <v>68</v>
      </c>
      <c r="I82">
        <v>1.99</v>
      </c>
      <c r="J82">
        <v>66.34</v>
      </c>
      <c r="K82" s="1" t="s">
        <v>293</v>
      </c>
      <c r="L82">
        <v>8948</v>
      </c>
      <c r="M82">
        <v>816</v>
      </c>
      <c r="N82">
        <v>9.1199999999999992</v>
      </c>
      <c r="O82" s="1" t="s">
        <v>23</v>
      </c>
      <c r="P82" s="3">
        <f>covid_data[[#This Row],[Deaths]]/covid_data[[#This Row],[Confirmed]]*100</f>
        <v>1.9868906185989348</v>
      </c>
      <c r="Q82" s="2">
        <f>covid_data[[#This Row],[Recovered]]/covid_data[[#This Row],[Confirmed]]</f>
        <v>0.66335518230233514</v>
      </c>
      <c r="R82" s="3">
        <f>covid_data[[#This Row],[Active]]/covid_data[[#This Row],[Confirmed]]*100</f>
        <v>31.677591151167555</v>
      </c>
      <c r="S82" s="5" t="str">
        <f>IF(covid_data[[#This Row],[New deaths]]&gt;5,"High Risk","Low Risk")</f>
        <v>Low Risk</v>
      </c>
      <c r="T82" s="6">
        <f>RANK(B82,covid_data[Confirmed],0)</f>
        <v>81</v>
      </c>
      <c r="U82" s="5" t="str">
        <f>_xlfn.IFS(B82&gt;50000,"Critical",B82&gt;10000,"High",B82&gt;5000,"Moderate",B82&gt;=10,"Low")</f>
        <v>Moderate</v>
      </c>
    </row>
    <row r="83" spans="1:21" x14ac:dyDescent="0.35">
      <c r="A83" s="1" t="s">
        <v>217</v>
      </c>
      <c r="B83">
        <v>9690</v>
      </c>
      <c r="C83">
        <v>91</v>
      </c>
      <c r="D83">
        <v>6260</v>
      </c>
      <c r="E83">
        <v>3339</v>
      </c>
      <c r="F83">
        <v>395</v>
      </c>
      <c r="G83">
        <v>6</v>
      </c>
      <c r="H83">
        <v>681</v>
      </c>
      <c r="I83">
        <v>0.94</v>
      </c>
      <c r="J83">
        <v>64.599999999999994</v>
      </c>
      <c r="K83" s="1" t="s">
        <v>218</v>
      </c>
      <c r="L83">
        <v>7153</v>
      </c>
      <c r="M83">
        <v>2537</v>
      </c>
      <c r="N83">
        <v>35.47</v>
      </c>
      <c r="O83" s="1" t="s">
        <v>23</v>
      </c>
      <c r="P83" s="3">
        <f>covid_data[[#This Row],[Deaths]]/covid_data[[#This Row],[Confirmed]]*100</f>
        <v>0.9391124871001032</v>
      </c>
      <c r="Q83" s="2">
        <f>covid_data[[#This Row],[Recovered]]/covid_data[[#This Row],[Confirmed]]</f>
        <v>0.6460268317853457</v>
      </c>
      <c r="R83" s="3">
        <f>covid_data[[#This Row],[Active]]/covid_data[[#This Row],[Confirmed]]*100</f>
        <v>34.458204334365327</v>
      </c>
      <c r="S83" s="5" t="str">
        <f>IF(covid_data[[#This Row],[New deaths]]&gt;5,"High Risk","Low Risk")</f>
        <v>High Risk</v>
      </c>
      <c r="T83" s="6">
        <f>RANK(B83,covid_data[Confirmed],0)</f>
        <v>82</v>
      </c>
      <c r="U83" s="5" t="str">
        <f>_xlfn.IFS(B83&gt;50000,"Critical",B83&gt;10000,"High",B83&gt;5000,"Moderate",B83&gt;=10,"Low")</f>
        <v>Moderate</v>
      </c>
    </row>
    <row r="84" spans="1:21" x14ac:dyDescent="0.35">
      <c r="A84" s="1" t="s">
        <v>258</v>
      </c>
      <c r="B84">
        <v>9132</v>
      </c>
      <c r="C84">
        <v>255</v>
      </c>
      <c r="D84">
        <v>8752</v>
      </c>
      <c r="E84">
        <v>125</v>
      </c>
      <c r="F84">
        <v>15</v>
      </c>
      <c r="G84">
        <v>0</v>
      </c>
      <c r="H84">
        <v>0</v>
      </c>
      <c r="I84">
        <v>2.79</v>
      </c>
      <c r="J84">
        <v>95.84</v>
      </c>
      <c r="K84" s="1" t="s">
        <v>259</v>
      </c>
      <c r="L84">
        <v>9034</v>
      </c>
      <c r="M84">
        <v>98</v>
      </c>
      <c r="N84">
        <v>1.08</v>
      </c>
      <c r="O84" s="1" t="s">
        <v>20</v>
      </c>
      <c r="P84" s="3">
        <f>covid_data[[#This Row],[Deaths]]/covid_data[[#This Row],[Confirmed]]*100</f>
        <v>2.7923784494086727</v>
      </c>
      <c r="Q84" s="2">
        <f>covid_data[[#This Row],[Recovered]]/covid_data[[#This Row],[Confirmed]]</f>
        <v>0.95838808585194923</v>
      </c>
      <c r="R84" s="3">
        <f>covid_data[[#This Row],[Active]]/covid_data[[#This Row],[Confirmed]]*100</f>
        <v>1.3688129653964083</v>
      </c>
      <c r="S84" s="5" t="str">
        <f>IF(covid_data[[#This Row],[New deaths]]&gt;5,"High Risk","Low Risk")</f>
        <v>Low Risk</v>
      </c>
      <c r="T84" s="6">
        <f>RANK(B84,covid_data[Confirmed],0)</f>
        <v>83</v>
      </c>
      <c r="U84" s="5" t="str">
        <f>_xlfn.IFS(B84&gt;50000,"Critical",B84&gt;10000,"High",B84&gt;5000,"Moderate",B84&gt;=10,"Low")</f>
        <v>Moderate</v>
      </c>
    </row>
    <row r="85" spans="1:21" x14ac:dyDescent="0.35">
      <c r="A85" s="1" t="s">
        <v>221</v>
      </c>
      <c r="B85">
        <v>8904</v>
      </c>
      <c r="C85">
        <v>124</v>
      </c>
      <c r="D85">
        <v>8601</v>
      </c>
      <c r="E85">
        <v>179</v>
      </c>
      <c r="F85">
        <v>7</v>
      </c>
      <c r="G85">
        <v>0</v>
      </c>
      <c r="H85">
        <v>1</v>
      </c>
      <c r="I85">
        <v>1.39</v>
      </c>
      <c r="J85">
        <v>96.6</v>
      </c>
      <c r="K85" s="1" t="s">
        <v>222</v>
      </c>
      <c r="L85">
        <v>8800</v>
      </c>
      <c r="M85">
        <v>104</v>
      </c>
      <c r="N85">
        <v>1.18</v>
      </c>
      <c r="O85" s="1" t="s">
        <v>37</v>
      </c>
      <c r="P85" s="3">
        <f>covid_data[[#This Row],[Deaths]]/covid_data[[#This Row],[Confirmed]]*100</f>
        <v>1.3926325247079965</v>
      </c>
      <c r="Q85" s="2">
        <f>covid_data[[#This Row],[Recovered]]/covid_data[[#This Row],[Confirmed]]</f>
        <v>0.96597035040431267</v>
      </c>
      <c r="R85" s="3">
        <f>covid_data[[#This Row],[Active]]/covid_data[[#This Row],[Confirmed]]*100</f>
        <v>2.0103324348607368</v>
      </c>
      <c r="S85" s="5" t="str">
        <f>IF(covid_data[[#This Row],[New deaths]]&gt;5,"High Risk","Low Risk")</f>
        <v>Low Risk</v>
      </c>
      <c r="T85" s="6">
        <f>RANK(B85,covid_data[Confirmed],0)</f>
        <v>84</v>
      </c>
      <c r="U85" s="5" t="str">
        <f>_xlfn.IFS(B85&gt;50000,"Critical",B85&gt;10000,"High",B85&gt;5000,"Moderate",B85&gt;=10,"Low")</f>
        <v>Moderate</v>
      </c>
    </row>
    <row r="86" spans="1:21" x14ac:dyDescent="0.35">
      <c r="A86" s="1" t="s">
        <v>100</v>
      </c>
      <c r="B86">
        <v>8844</v>
      </c>
      <c r="C86">
        <v>208</v>
      </c>
      <c r="D86">
        <v>5700</v>
      </c>
      <c r="E86">
        <v>2936</v>
      </c>
      <c r="F86">
        <v>13</v>
      </c>
      <c r="G86">
        <v>4</v>
      </c>
      <c r="H86">
        <v>190</v>
      </c>
      <c r="I86">
        <v>2.35</v>
      </c>
      <c r="J86">
        <v>64.45</v>
      </c>
      <c r="K86" s="1" t="s">
        <v>101</v>
      </c>
      <c r="L86">
        <v>8443</v>
      </c>
      <c r="M86">
        <v>401</v>
      </c>
      <c r="N86">
        <v>4.75</v>
      </c>
      <c r="O86" s="1" t="s">
        <v>23</v>
      </c>
      <c r="P86" s="3">
        <f>covid_data[[#This Row],[Deaths]]/covid_data[[#This Row],[Confirmed]]*100</f>
        <v>2.3518769787426503</v>
      </c>
      <c r="Q86" s="2">
        <f>covid_data[[#This Row],[Recovered]]/covid_data[[#This Row],[Confirmed]]</f>
        <v>0.64450474898236088</v>
      </c>
      <c r="R86" s="3">
        <f>covid_data[[#This Row],[Active]]/covid_data[[#This Row],[Confirmed]]*100</f>
        <v>33.197648123021253</v>
      </c>
      <c r="S86" s="5" t="str">
        <f>IF(covid_data[[#This Row],[New deaths]]&gt;5,"High Risk","Low Risk")</f>
        <v>Low Risk</v>
      </c>
      <c r="T86" s="6">
        <f>RANK(B86,covid_data[Confirmed],0)</f>
        <v>85</v>
      </c>
      <c r="U86" s="5" t="str">
        <f>_xlfn.IFS(B86&gt;50000,"Critical",B86&gt;10000,"High",B86&gt;5000,"Moderate",B86&gt;=10,"Low")</f>
        <v>Moderate</v>
      </c>
    </row>
    <row r="87" spans="1:21" x14ac:dyDescent="0.35">
      <c r="A87" s="1" t="s">
        <v>194</v>
      </c>
      <c r="B87">
        <v>7413</v>
      </c>
      <c r="C87">
        <v>185</v>
      </c>
      <c r="D87">
        <v>4027</v>
      </c>
      <c r="E87">
        <v>3201</v>
      </c>
      <c r="F87">
        <v>496</v>
      </c>
      <c r="G87">
        <v>16</v>
      </c>
      <c r="H87">
        <v>274</v>
      </c>
      <c r="I87">
        <v>2.5</v>
      </c>
      <c r="J87">
        <v>54.32</v>
      </c>
      <c r="K87" s="1" t="s">
        <v>195</v>
      </c>
      <c r="L87">
        <v>5877</v>
      </c>
      <c r="M87">
        <v>1536</v>
      </c>
      <c r="N87">
        <v>26.14</v>
      </c>
      <c r="O87" s="1" t="s">
        <v>20</v>
      </c>
      <c r="P87" s="3">
        <f>covid_data[[#This Row],[Deaths]]/covid_data[[#This Row],[Confirmed]]*100</f>
        <v>2.4956158100634021</v>
      </c>
      <c r="Q87" s="2">
        <f>covid_data[[#This Row],[Recovered]]/covid_data[[#This Row],[Confirmed]]</f>
        <v>0.54323485768244972</v>
      </c>
      <c r="R87" s="3">
        <f>covid_data[[#This Row],[Active]]/covid_data[[#This Row],[Confirmed]]*100</f>
        <v>43.180898421691623</v>
      </c>
      <c r="S87" s="5" t="str">
        <f>IF(covid_data[[#This Row],[New deaths]]&gt;5,"High Risk","Low Risk")</f>
        <v>High Risk</v>
      </c>
      <c r="T87" s="6">
        <f>RANK(B87,covid_data[Confirmed],0)</f>
        <v>86</v>
      </c>
      <c r="U87" s="5" t="str">
        <f>_xlfn.IFS(B87&gt;50000,"Critical",B87&gt;10000,"High",B87&gt;5000,"Moderate",B87&gt;=10,"Low")</f>
        <v>Moderate</v>
      </c>
    </row>
    <row r="88" spans="1:21" x14ac:dyDescent="0.35">
      <c r="A88" s="1" t="s">
        <v>135</v>
      </c>
      <c r="B88">
        <v>7398</v>
      </c>
      <c r="C88">
        <v>329</v>
      </c>
      <c r="D88">
        <v>6920</v>
      </c>
      <c r="E88">
        <v>149</v>
      </c>
      <c r="F88">
        <v>5</v>
      </c>
      <c r="G88">
        <v>0</v>
      </c>
      <c r="H88">
        <v>0</v>
      </c>
      <c r="I88">
        <v>4.45</v>
      </c>
      <c r="J88">
        <v>93.54</v>
      </c>
      <c r="K88" s="1" t="s">
        <v>136</v>
      </c>
      <c r="L88">
        <v>7340</v>
      </c>
      <c r="M88">
        <v>58</v>
      </c>
      <c r="N88">
        <v>0.79</v>
      </c>
      <c r="O88" s="1" t="s">
        <v>20</v>
      </c>
      <c r="P88" s="3">
        <f>covid_data[[#This Row],[Deaths]]/covid_data[[#This Row],[Confirmed]]*100</f>
        <v>4.4471478778048121</v>
      </c>
      <c r="Q88" s="2">
        <f>covid_data[[#This Row],[Recovered]]/covid_data[[#This Row],[Confirmed]]</f>
        <v>0.93538794268721281</v>
      </c>
      <c r="R88" s="3">
        <f>covid_data[[#This Row],[Active]]/covid_data[[#This Row],[Confirmed]]*100</f>
        <v>2.0140578534739122</v>
      </c>
      <c r="S88" s="5" t="str">
        <f>IF(covid_data[[#This Row],[New deaths]]&gt;5,"High Risk","Low Risk")</f>
        <v>Low Risk</v>
      </c>
      <c r="T88" s="6">
        <f>RANK(B88,covid_data[Confirmed],0)</f>
        <v>87</v>
      </c>
      <c r="U88" s="5" t="str">
        <f>_xlfn.IFS(B88&gt;50000,"Critical",B88&gt;10000,"High",B88&gt;5000,"Moderate",B88&gt;=10,"Low")</f>
        <v>Moderate</v>
      </c>
    </row>
    <row r="89" spans="1:21" x14ac:dyDescent="0.35">
      <c r="A89" s="1" t="s">
        <v>161</v>
      </c>
      <c r="B89">
        <v>7340</v>
      </c>
      <c r="C89">
        <v>158</v>
      </c>
      <c r="D89">
        <v>4365</v>
      </c>
      <c r="E89">
        <v>2817</v>
      </c>
      <c r="F89">
        <v>25</v>
      </c>
      <c r="G89">
        <v>1</v>
      </c>
      <c r="H89">
        <v>0</v>
      </c>
      <c r="I89">
        <v>2.15</v>
      </c>
      <c r="J89">
        <v>59.47</v>
      </c>
      <c r="K89" s="1" t="s">
        <v>162</v>
      </c>
      <c r="L89">
        <v>7053</v>
      </c>
      <c r="M89">
        <v>287</v>
      </c>
      <c r="N89">
        <v>4.07</v>
      </c>
      <c r="O89" s="1" t="s">
        <v>30</v>
      </c>
      <c r="P89" s="3">
        <f>covid_data[[#This Row],[Deaths]]/covid_data[[#This Row],[Confirmed]]*100</f>
        <v>2.1525885558583107</v>
      </c>
      <c r="Q89" s="2">
        <f>covid_data[[#This Row],[Recovered]]/covid_data[[#This Row],[Confirmed]]</f>
        <v>0.59468664850136244</v>
      </c>
      <c r="R89" s="3">
        <f>covid_data[[#This Row],[Active]]/covid_data[[#This Row],[Confirmed]]*100</f>
        <v>38.378746594005449</v>
      </c>
      <c r="S89" s="5" t="str">
        <f>IF(covid_data[[#This Row],[New deaths]]&gt;5,"High Risk","Low Risk")</f>
        <v>Low Risk</v>
      </c>
      <c r="T89" s="6">
        <f>RANK(B89,covid_data[Confirmed],0)</f>
        <v>88</v>
      </c>
      <c r="U89" s="5" t="str">
        <f>_xlfn.IFS(B89&gt;50000,"Critical",B89&gt;10000,"High",B89&gt;5000,"Moderate",B89&gt;=10,"Low")</f>
        <v>Moderate</v>
      </c>
    </row>
    <row r="90" spans="1:21" x14ac:dyDescent="0.35">
      <c r="A90" s="1" t="s">
        <v>323</v>
      </c>
      <c r="B90">
        <v>7235</v>
      </c>
      <c r="C90">
        <v>60</v>
      </c>
      <c r="D90">
        <v>6028</v>
      </c>
      <c r="E90">
        <v>1147</v>
      </c>
      <c r="F90">
        <v>43</v>
      </c>
      <c r="G90">
        <v>1</v>
      </c>
      <c r="H90">
        <v>58</v>
      </c>
      <c r="I90">
        <v>0.83</v>
      </c>
      <c r="J90">
        <v>83.32</v>
      </c>
      <c r="K90" s="1" t="s">
        <v>324</v>
      </c>
      <c r="L90">
        <v>6921</v>
      </c>
      <c r="M90">
        <v>314</v>
      </c>
      <c r="N90">
        <v>4.54</v>
      </c>
      <c r="O90" s="1" t="s">
        <v>20</v>
      </c>
      <c r="P90" s="3">
        <f>covid_data[[#This Row],[Deaths]]/covid_data[[#This Row],[Confirmed]]*100</f>
        <v>0.82930200414651001</v>
      </c>
      <c r="Q90" s="2">
        <f>covid_data[[#This Row],[Recovered]]/covid_data[[#This Row],[Confirmed]]</f>
        <v>0.83317208016586042</v>
      </c>
      <c r="R90" s="3">
        <f>covid_data[[#This Row],[Active]]/covid_data[[#This Row],[Confirmed]]*100</f>
        <v>15.853489979267449</v>
      </c>
      <c r="S90" s="5" t="str">
        <f>IF(covid_data[[#This Row],[New deaths]]&gt;5,"High Risk","Low Risk")</f>
        <v>Low Risk</v>
      </c>
      <c r="T90" s="6">
        <f>RANK(B90,covid_data[Confirmed],0)</f>
        <v>89</v>
      </c>
      <c r="U90" s="5" t="str">
        <f>_xlfn.IFS(B90&gt;50000,"Critical",B90&gt;10000,"High",B90&gt;5000,"Moderate",B90&gt;=10,"Low")</f>
        <v>Moderate</v>
      </c>
    </row>
    <row r="91" spans="1:21" x14ac:dyDescent="0.35">
      <c r="A91" s="1" t="s">
        <v>139</v>
      </c>
      <c r="B91">
        <v>7189</v>
      </c>
      <c r="C91">
        <v>49</v>
      </c>
      <c r="D91">
        <v>4682</v>
      </c>
      <c r="E91">
        <v>2458</v>
      </c>
      <c r="F91">
        <v>205</v>
      </c>
      <c r="G91">
        <v>0</v>
      </c>
      <c r="H91">
        <v>219</v>
      </c>
      <c r="I91">
        <v>0.68</v>
      </c>
      <c r="J91">
        <v>65.13</v>
      </c>
      <c r="K91" s="1" t="s">
        <v>140</v>
      </c>
      <c r="L91">
        <v>6433</v>
      </c>
      <c r="M91">
        <v>756</v>
      </c>
      <c r="N91">
        <v>11.75</v>
      </c>
      <c r="O91" s="1" t="s">
        <v>23</v>
      </c>
      <c r="P91" s="3">
        <f>covid_data[[#This Row],[Deaths]]/covid_data[[#This Row],[Confirmed]]*100</f>
        <v>0.6815968841285297</v>
      </c>
      <c r="Q91" s="2">
        <f>covid_data[[#This Row],[Recovered]]/covid_data[[#This Row],[Confirmed]]</f>
        <v>0.65127277785505633</v>
      </c>
      <c r="R91" s="3">
        <f>covid_data[[#This Row],[Active]]/covid_data[[#This Row],[Confirmed]]*100</f>
        <v>34.191125330365836</v>
      </c>
      <c r="S91" s="5" t="str">
        <f>IF(covid_data[[#This Row],[New deaths]]&gt;5,"High Risk","Low Risk")</f>
        <v>Low Risk</v>
      </c>
      <c r="T91" s="6">
        <f>RANK(B91,covid_data[Confirmed],0)</f>
        <v>90</v>
      </c>
      <c r="U91" s="5" t="str">
        <f>_xlfn.IFS(B91&gt;50000,"Critical",B91&gt;10000,"High",B91&gt;5000,"Moderate",B91&gt;=10,"Low")</f>
        <v>Moderate</v>
      </c>
    </row>
    <row r="92" spans="1:21" x14ac:dyDescent="0.35">
      <c r="A92" s="1" t="s">
        <v>155</v>
      </c>
      <c r="B92">
        <v>7055</v>
      </c>
      <c r="C92">
        <v>45</v>
      </c>
      <c r="D92">
        <v>6257</v>
      </c>
      <c r="E92">
        <v>753</v>
      </c>
      <c r="F92">
        <v>47</v>
      </c>
      <c r="G92">
        <v>2</v>
      </c>
      <c r="H92">
        <v>105</v>
      </c>
      <c r="I92">
        <v>0.64</v>
      </c>
      <c r="J92">
        <v>88.69</v>
      </c>
      <c r="K92" s="1" t="s">
        <v>156</v>
      </c>
      <c r="L92">
        <v>6590</v>
      </c>
      <c r="M92">
        <v>465</v>
      </c>
      <c r="N92">
        <v>7.06</v>
      </c>
      <c r="O92" s="1" t="s">
        <v>23</v>
      </c>
      <c r="P92" s="3">
        <f>covid_data[[#This Row],[Deaths]]/covid_data[[#This Row],[Confirmed]]*100</f>
        <v>0.6378454996456413</v>
      </c>
      <c r="Q92" s="2">
        <f>covid_data[[#This Row],[Recovered]]/covid_data[[#This Row],[Confirmed]]</f>
        <v>0.88688873139617297</v>
      </c>
      <c r="R92" s="3">
        <f>covid_data[[#This Row],[Active]]/covid_data[[#This Row],[Confirmed]]*100</f>
        <v>10.673281360737066</v>
      </c>
      <c r="S92" s="5" t="str">
        <f>IF(covid_data[[#This Row],[New deaths]]&gt;5,"High Risk","Low Risk")</f>
        <v>Low Risk</v>
      </c>
      <c r="T92" s="6">
        <f>RANK(B92,covid_data[Confirmed],0)</f>
        <v>91</v>
      </c>
      <c r="U92" s="5" t="str">
        <f>_xlfn.IFS(B92&gt;50000,"Critical",B92&gt;10000,"High",B92&gt;5000,"Moderate",B92&gt;=10,"Low")</f>
        <v>Moderate</v>
      </c>
    </row>
    <row r="93" spans="1:21" x14ac:dyDescent="0.35">
      <c r="A93" s="1" t="s">
        <v>215</v>
      </c>
      <c r="B93">
        <v>6321</v>
      </c>
      <c r="C93">
        <v>112</v>
      </c>
      <c r="D93">
        <v>4825</v>
      </c>
      <c r="E93">
        <v>1384</v>
      </c>
      <c r="F93">
        <v>49</v>
      </c>
      <c r="G93">
        <v>0</v>
      </c>
      <c r="H93">
        <v>178</v>
      </c>
      <c r="I93">
        <v>1.77</v>
      </c>
      <c r="J93">
        <v>76.33</v>
      </c>
      <c r="K93" s="1" t="s">
        <v>216</v>
      </c>
      <c r="L93">
        <v>5639</v>
      </c>
      <c r="M93">
        <v>682</v>
      </c>
      <c r="N93">
        <v>12.09</v>
      </c>
      <c r="O93" s="1" t="s">
        <v>20</v>
      </c>
      <c r="P93" s="3">
        <f>covid_data[[#This Row],[Deaths]]/covid_data[[#This Row],[Confirmed]]*100</f>
        <v>1.7718715393133997</v>
      </c>
      <c r="Q93" s="2">
        <f>covid_data[[#This Row],[Recovered]]/covid_data[[#This Row],[Confirmed]]</f>
        <v>0.763328587248853</v>
      </c>
      <c r="R93" s="3">
        <f>covid_data[[#This Row],[Active]]/covid_data[[#This Row],[Confirmed]]*100</f>
        <v>21.8952697358013</v>
      </c>
      <c r="S93" s="5" t="str">
        <f>IF(covid_data[[#This Row],[New deaths]]&gt;5,"High Risk","Low Risk")</f>
        <v>Low Risk</v>
      </c>
      <c r="T93" s="6">
        <f>RANK(B93,covid_data[Confirmed],0)</f>
        <v>92</v>
      </c>
      <c r="U93" s="5" t="str">
        <f>_xlfn.IFS(B93&gt;50000,"Critical",B93&gt;10000,"High",B93&gt;5000,"Moderate",B93&gt;=10,"Low")</f>
        <v>Moderate</v>
      </c>
    </row>
    <row r="94" spans="1:21" x14ac:dyDescent="0.35">
      <c r="A94" s="1" t="s">
        <v>228</v>
      </c>
      <c r="B94">
        <v>6208</v>
      </c>
      <c r="C94">
        <v>156</v>
      </c>
      <c r="D94">
        <v>4653</v>
      </c>
      <c r="E94">
        <v>1399</v>
      </c>
      <c r="F94">
        <v>37</v>
      </c>
      <c r="G94">
        <v>0</v>
      </c>
      <c r="H94">
        <v>223</v>
      </c>
      <c r="I94">
        <v>2.5099999999999998</v>
      </c>
      <c r="J94">
        <v>74.95</v>
      </c>
      <c r="K94" s="1" t="s">
        <v>229</v>
      </c>
      <c r="L94">
        <v>5923</v>
      </c>
      <c r="M94">
        <v>285</v>
      </c>
      <c r="N94">
        <v>4.8099999999999996</v>
      </c>
      <c r="O94" s="1" t="s">
        <v>23</v>
      </c>
      <c r="P94" s="3">
        <f>covid_data[[#This Row],[Deaths]]/covid_data[[#This Row],[Confirmed]]*100</f>
        <v>2.5128865979381443</v>
      </c>
      <c r="Q94" s="2">
        <f>covid_data[[#This Row],[Recovered]]/covid_data[[#This Row],[Confirmed]]</f>
        <v>0.74951675257731953</v>
      </c>
      <c r="R94" s="3">
        <f>covid_data[[#This Row],[Active]]/covid_data[[#This Row],[Confirmed]]*100</f>
        <v>22.535438144329898</v>
      </c>
      <c r="S94" s="5" t="str">
        <f>IF(covid_data[[#This Row],[New deaths]]&gt;5,"High Risk","Low Risk")</f>
        <v>Low Risk</v>
      </c>
      <c r="T94" s="6">
        <f>RANK(B94,covid_data[Confirmed],0)</f>
        <v>93</v>
      </c>
      <c r="U94" s="5" t="str">
        <f>_xlfn.IFS(B94&gt;50000,"Critical",B94&gt;10000,"High",B94&gt;5000,"Moderate",B94&gt;=10,"Low")</f>
        <v>Moderate</v>
      </c>
    </row>
    <row r="95" spans="1:21" x14ac:dyDescent="0.35">
      <c r="A95" s="1" t="s">
        <v>116</v>
      </c>
      <c r="B95">
        <v>5059</v>
      </c>
      <c r="C95">
        <v>58</v>
      </c>
      <c r="D95">
        <v>4977</v>
      </c>
      <c r="E95">
        <v>24</v>
      </c>
      <c r="F95">
        <v>9</v>
      </c>
      <c r="G95">
        <v>0</v>
      </c>
      <c r="H95">
        <v>11</v>
      </c>
      <c r="I95">
        <v>1.1499999999999999</v>
      </c>
      <c r="J95">
        <v>98.38</v>
      </c>
      <c r="K95" s="1" t="s">
        <v>117</v>
      </c>
      <c r="L95">
        <v>5020</v>
      </c>
      <c r="M95">
        <v>39</v>
      </c>
      <c r="N95">
        <v>0.78</v>
      </c>
      <c r="O95" s="1" t="s">
        <v>17</v>
      </c>
      <c r="P95" s="3">
        <f>covid_data[[#This Row],[Deaths]]/covid_data[[#This Row],[Confirmed]]*100</f>
        <v>1.1464716347104171</v>
      </c>
      <c r="Q95" s="2">
        <f>covid_data[[#This Row],[Recovered]]/covid_data[[#This Row],[Confirmed]]</f>
        <v>0.98379126309547338</v>
      </c>
      <c r="R95" s="3">
        <f>covid_data[[#This Row],[Active]]/covid_data[[#This Row],[Confirmed]]*100</f>
        <v>0.47440205574224154</v>
      </c>
      <c r="S95" s="5" t="str">
        <f>IF(covid_data[[#This Row],[New deaths]]&gt;5,"High Risk","Low Risk")</f>
        <v>Low Risk</v>
      </c>
      <c r="T95" s="6">
        <f>RANK(B95,covid_data[Confirmed],0)</f>
        <v>94</v>
      </c>
      <c r="U95" s="5" t="str">
        <f>_xlfn.IFS(B95&gt;50000,"Critical",B95&gt;10000,"High",B95&gt;5000,"Moderate",B95&gt;=10,"Low")</f>
        <v>Moderate</v>
      </c>
    </row>
    <row r="96" spans="1:21" x14ac:dyDescent="0.35">
      <c r="A96" s="1" t="s">
        <v>106</v>
      </c>
      <c r="B96">
        <v>4881</v>
      </c>
      <c r="C96">
        <v>139</v>
      </c>
      <c r="D96">
        <v>3936</v>
      </c>
      <c r="E96">
        <v>806</v>
      </c>
      <c r="F96">
        <v>24</v>
      </c>
      <c r="G96">
        <v>3</v>
      </c>
      <c r="H96">
        <v>70</v>
      </c>
      <c r="I96">
        <v>2.85</v>
      </c>
      <c r="J96">
        <v>80.64</v>
      </c>
      <c r="K96" s="1" t="s">
        <v>107</v>
      </c>
      <c r="L96">
        <v>4370</v>
      </c>
      <c r="M96">
        <v>511</v>
      </c>
      <c r="N96">
        <v>11.69</v>
      </c>
      <c r="O96" s="1" t="s">
        <v>20</v>
      </c>
      <c r="P96" s="3">
        <f>covid_data[[#This Row],[Deaths]]/covid_data[[#This Row],[Confirmed]]*100</f>
        <v>2.8477770948576113</v>
      </c>
      <c r="Q96" s="2">
        <f>covid_data[[#This Row],[Recovered]]/covid_data[[#This Row],[Confirmed]]</f>
        <v>0.80639213275968036</v>
      </c>
      <c r="R96" s="3">
        <f>covid_data[[#This Row],[Active]]/covid_data[[#This Row],[Confirmed]]*100</f>
        <v>16.513009629174348</v>
      </c>
      <c r="S96" s="5" t="str">
        <f>IF(covid_data[[#This Row],[New deaths]]&gt;5,"High Risk","Low Risk")</f>
        <v>Low Risk</v>
      </c>
      <c r="T96" s="6">
        <f>RANK(B96,covid_data[Confirmed],0)</f>
        <v>95</v>
      </c>
      <c r="U96" s="5" t="str">
        <f>_xlfn.IFS(B96&gt;50000,"Critical",B96&gt;10000,"High",B96&gt;5000,"Moderate",B96&gt;=10,"Low")</f>
        <v>Low</v>
      </c>
    </row>
    <row r="97" spans="1:21" x14ac:dyDescent="0.35">
      <c r="A97" s="1" t="s">
        <v>18</v>
      </c>
      <c r="B97">
        <v>4880</v>
      </c>
      <c r="C97">
        <v>144</v>
      </c>
      <c r="D97">
        <v>2745</v>
      </c>
      <c r="E97">
        <v>1991</v>
      </c>
      <c r="F97">
        <v>117</v>
      </c>
      <c r="G97">
        <v>6</v>
      </c>
      <c r="H97">
        <v>63</v>
      </c>
      <c r="I97">
        <v>2.95</v>
      </c>
      <c r="J97">
        <v>56.25</v>
      </c>
      <c r="K97" s="1" t="s">
        <v>19</v>
      </c>
      <c r="L97">
        <v>4171</v>
      </c>
      <c r="M97">
        <v>709</v>
      </c>
      <c r="N97">
        <v>17</v>
      </c>
      <c r="O97" s="1" t="s">
        <v>20</v>
      </c>
      <c r="P97" s="3">
        <f>covid_data[[#This Row],[Deaths]]/covid_data[[#This Row],[Confirmed]]*100</f>
        <v>2.9508196721311477</v>
      </c>
      <c r="Q97" s="2">
        <f>covid_data[[#This Row],[Recovered]]/covid_data[[#This Row],[Confirmed]]</f>
        <v>0.5625</v>
      </c>
      <c r="R97" s="3">
        <f>covid_data[[#This Row],[Active]]/covid_data[[#This Row],[Confirmed]]*100</f>
        <v>40.799180327868854</v>
      </c>
      <c r="S97" s="5" t="str">
        <f>IF(covid_data[[#This Row],[New deaths]]&gt;5,"High Risk","Low Risk")</f>
        <v>High Risk</v>
      </c>
      <c r="T97" s="6">
        <f>RANK(B97,covid_data[Confirmed],0)</f>
        <v>96</v>
      </c>
      <c r="U97" s="5" t="str">
        <f>_xlfn.IFS(B97&gt;50000,"Critical",B97&gt;10000,"High",B97&gt;5000,"Moderate",B97&gt;=10,"Low")</f>
        <v>Low</v>
      </c>
    </row>
    <row r="98" spans="1:21" x14ac:dyDescent="0.35">
      <c r="A98" s="1" t="s">
        <v>86</v>
      </c>
      <c r="B98">
        <v>4599</v>
      </c>
      <c r="C98">
        <v>59</v>
      </c>
      <c r="D98">
        <v>1546</v>
      </c>
      <c r="E98">
        <v>2994</v>
      </c>
      <c r="F98">
        <v>0</v>
      </c>
      <c r="G98">
        <v>0</v>
      </c>
      <c r="H98">
        <v>0</v>
      </c>
      <c r="I98">
        <v>1.28</v>
      </c>
      <c r="J98">
        <v>33.619999999999997</v>
      </c>
      <c r="K98" s="1" t="s">
        <v>87</v>
      </c>
      <c r="L98">
        <v>4548</v>
      </c>
      <c r="M98">
        <v>51</v>
      </c>
      <c r="N98">
        <v>1.1200000000000001</v>
      </c>
      <c r="O98" s="1" t="s">
        <v>23</v>
      </c>
      <c r="P98" s="3">
        <f>covid_data[[#This Row],[Deaths]]/covid_data[[#This Row],[Confirmed]]*100</f>
        <v>1.2828875842574472</v>
      </c>
      <c r="Q98" s="2">
        <f>covid_data[[#This Row],[Recovered]]/covid_data[[#This Row],[Confirmed]]</f>
        <v>0.33616003479017176</v>
      </c>
      <c r="R98" s="3">
        <f>covid_data[[#This Row],[Active]]/covid_data[[#This Row],[Confirmed]]*100</f>
        <v>65.101108936725367</v>
      </c>
      <c r="S98" s="5" t="str">
        <f>IF(covid_data[[#This Row],[New deaths]]&gt;5,"High Risk","Low Risk")</f>
        <v>Low Risk</v>
      </c>
      <c r="T98" s="6">
        <f>RANK(B98,covid_data[Confirmed],0)</f>
        <v>97</v>
      </c>
      <c r="U98" s="5" t="str">
        <f>_xlfn.IFS(B98&gt;50000,"Critical",B98&gt;10000,"High",B98&gt;5000,"Moderate",B98&gt;=10,"Low")</f>
        <v>Low</v>
      </c>
    </row>
    <row r="99" spans="1:21" x14ac:dyDescent="0.35">
      <c r="A99" s="1" t="s">
        <v>359</v>
      </c>
      <c r="B99">
        <v>4552</v>
      </c>
      <c r="C99">
        <v>140</v>
      </c>
      <c r="D99">
        <v>2815</v>
      </c>
      <c r="E99">
        <v>1597</v>
      </c>
      <c r="F99">
        <v>71</v>
      </c>
      <c r="G99">
        <v>1</v>
      </c>
      <c r="H99">
        <v>465</v>
      </c>
      <c r="I99">
        <v>3.08</v>
      </c>
      <c r="J99">
        <v>61.84</v>
      </c>
      <c r="K99" s="1" t="s">
        <v>360</v>
      </c>
      <c r="L99">
        <v>3326</v>
      </c>
      <c r="M99">
        <v>1226</v>
      </c>
      <c r="N99">
        <v>36.86</v>
      </c>
      <c r="O99" s="1" t="s">
        <v>23</v>
      </c>
      <c r="P99" s="3">
        <f>covid_data[[#This Row],[Deaths]]/covid_data[[#This Row],[Confirmed]]*100</f>
        <v>3.0755711775043935</v>
      </c>
      <c r="Q99" s="2">
        <f>covid_data[[#This Row],[Recovered]]/covid_data[[#This Row],[Confirmed]]</f>
        <v>0.61840949033391912</v>
      </c>
      <c r="R99" s="3">
        <f>covid_data[[#This Row],[Active]]/covid_data[[#This Row],[Confirmed]]*100</f>
        <v>35.083479789103691</v>
      </c>
      <c r="S99" s="5" t="str">
        <f>IF(covid_data[[#This Row],[New deaths]]&gt;5,"High Risk","Low Risk")</f>
        <v>Low Risk</v>
      </c>
      <c r="T99" s="6">
        <f>RANK(B99,covid_data[Confirmed],0)</f>
        <v>98</v>
      </c>
      <c r="U99" s="5" t="str">
        <f>_xlfn.IFS(B99&gt;50000,"Critical",B99&gt;10000,"High",B99&gt;5000,"Moderate",B99&gt;=10,"Low")</f>
        <v>Low</v>
      </c>
    </row>
    <row r="100" spans="1:21" x14ac:dyDescent="0.35">
      <c r="A100" s="1" t="s">
        <v>267</v>
      </c>
      <c r="B100">
        <v>4548</v>
      </c>
      <c r="C100">
        <v>43</v>
      </c>
      <c r="D100">
        <v>2905</v>
      </c>
      <c r="E100">
        <v>1600</v>
      </c>
      <c r="F100">
        <v>104</v>
      </c>
      <c r="G100">
        <v>2</v>
      </c>
      <c r="H100">
        <v>111</v>
      </c>
      <c r="I100">
        <v>0.95</v>
      </c>
      <c r="J100">
        <v>63.87</v>
      </c>
      <c r="K100" s="1" t="s">
        <v>268</v>
      </c>
      <c r="L100">
        <v>3748</v>
      </c>
      <c r="M100">
        <v>800</v>
      </c>
      <c r="N100">
        <v>21.34</v>
      </c>
      <c r="O100" s="1" t="s">
        <v>30</v>
      </c>
      <c r="P100" s="3">
        <f>covid_data[[#This Row],[Deaths]]/covid_data[[#This Row],[Confirmed]]*100</f>
        <v>0.94547053649956025</v>
      </c>
      <c r="Q100" s="2">
        <f>covid_data[[#This Row],[Recovered]]/covid_data[[#This Row],[Confirmed]]</f>
        <v>0.63874230430958667</v>
      </c>
      <c r="R100" s="3">
        <f>covid_data[[#This Row],[Active]]/covid_data[[#This Row],[Confirmed]]*100</f>
        <v>35.180299032541775</v>
      </c>
      <c r="S100" s="5" t="str">
        <f>IF(covid_data[[#This Row],[New deaths]]&gt;5,"High Risk","Low Risk")</f>
        <v>Low Risk</v>
      </c>
      <c r="T100" s="6">
        <f>RANK(B100,covid_data[Confirmed],0)</f>
        <v>99</v>
      </c>
      <c r="U100" s="5" t="str">
        <f>_xlfn.IFS(B100&gt;50000,"Critical",B100&gt;10000,"High",B100&gt;5000,"Moderate",B100&gt;=10,"Low")</f>
        <v>Low</v>
      </c>
    </row>
    <row r="101" spans="1:21" x14ac:dyDescent="0.35">
      <c r="A101" s="1" t="s">
        <v>166</v>
      </c>
      <c r="B101">
        <v>4448</v>
      </c>
      <c r="C101">
        <v>596</v>
      </c>
      <c r="D101">
        <v>3329</v>
      </c>
      <c r="E101">
        <v>523</v>
      </c>
      <c r="F101">
        <v>13</v>
      </c>
      <c r="G101">
        <v>0</v>
      </c>
      <c r="H101">
        <v>0</v>
      </c>
      <c r="I101">
        <v>13.4</v>
      </c>
      <c r="J101">
        <v>74.84</v>
      </c>
      <c r="K101" s="1" t="s">
        <v>167</v>
      </c>
      <c r="L101">
        <v>4339</v>
      </c>
      <c r="M101">
        <v>109</v>
      </c>
      <c r="N101">
        <v>2.5099999999999998</v>
      </c>
      <c r="O101" s="1" t="s">
        <v>20</v>
      </c>
      <c r="P101" s="3">
        <f>covid_data[[#This Row],[Deaths]]/covid_data[[#This Row],[Confirmed]]*100</f>
        <v>13.399280575539569</v>
      </c>
      <c r="Q101" s="2">
        <f>covid_data[[#This Row],[Recovered]]/covid_data[[#This Row],[Confirmed]]</f>
        <v>0.74842625899280579</v>
      </c>
      <c r="R101" s="3">
        <f>covid_data[[#This Row],[Active]]/covid_data[[#This Row],[Confirmed]]*100</f>
        <v>11.758093525179856</v>
      </c>
      <c r="S101" s="5" t="str">
        <f>IF(covid_data[[#This Row],[New deaths]]&gt;5,"High Risk","Low Risk")</f>
        <v>Low Risk</v>
      </c>
      <c r="T101" s="6">
        <f>RANK(B101,covid_data[Confirmed],0)</f>
        <v>100</v>
      </c>
      <c r="U101" s="5" t="str">
        <f>_xlfn.IFS(B101&gt;50000,"Critical",B101&gt;10000,"High",B101&gt;5000,"Moderate",B101&gt;=10,"Low")</f>
        <v>Low</v>
      </c>
    </row>
    <row r="102" spans="1:21" x14ac:dyDescent="0.35">
      <c r="A102" s="1" t="s">
        <v>149</v>
      </c>
      <c r="B102">
        <v>4227</v>
      </c>
      <c r="C102">
        <v>202</v>
      </c>
      <c r="D102">
        <v>1374</v>
      </c>
      <c r="E102">
        <v>2651</v>
      </c>
      <c r="F102">
        <v>34</v>
      </c>
      <c r="G102">
        <v>0</v>
      </c>
      <c r="H102">
        <v>0</v>
      </c>
      <c r="I102">
        <v>4.78</v>
      </c>
      <c r="J102">
        <v>32.51</v>
      </c>
      <c r="K102" s="1" t="s">
        <v>150</v>
      </c>
      <c r="L102">
        <v>4012</v>
      </c>
      <c r="M102">
        <v>215</v>
      </c>
      <c r="N102">
        <v>5.36</v>
      </c>
      <c r="O102" s="1" t="s">
        <v>20</v>
      </c>
      <c r="P102" s="3">
        <f>covid_data[[#This Row],[Deaths]]/covid_data[[#This Row],[Confirmed]]*100</f>
        <v>4.7788029335225923</v>
      </c>
      <c r="Q102" s="2">
        <f>covid_data[[#This Row],[Recovered]]/covid_data[[#This Row],[Confirmed]]</f>
        <v>0.32505322924059615</v>
      </c>
      <c r="R102" s="3">
        <f>covid_data[[#This Row],[Active]]/covid_data[[#This Row],[Confirmed]]*100</f>
        <v>62.715874142417796</v>
      </c>
      <c r="S102" s="5" t="str">
        <f>IF(covid_data[[#This Row],[New deaths]]&gt;5,"High Risk","Low Risk")</f>
        <v>Low Risk</v>
      </c>
      <c r="T102" s="6">
        <f>RANK(B102,covid_data[Confirmed],0)</f>
        <v>101</v>
      </c>
      <c r="U102" s="5" t="str">
        <f>_xlfn.IFS(B102&gt;50000,"Critical",B102&gt;10000,"High",B102&gt;5000,"Moderate",B102&gt;=10,"Low")</f>
        <v>Low</v>
      </c>
    </row>
    <row r="103" spans="1:21" x14ac:dyDescent="0.35">
      <c r="A103" s="1" t="s">
        <v>203</v>
      </c>
      <c r="B103">
        <v>3882</v>
      </c>
      <c r="C103">
        <v>51</v>
      </c>
      <c r="D103">
        <v>1709</v>
      </c>
      <c r="E103">
        <v>2122</v>
      </c>
      <c r="F103">
        <v>132</v>
      </c>
      <c r="G103">
        <v>0</v>
      </c>
      <c r="H103">
        <v>17</v>
      </c>
      <c r="I103">
        <v>1.31</v>
      </c>
      <c r="J103">
        <v>44.02</v>
      </c>
      <c r="K103" s="1" t="s">
        <v>204</v>
      </c>
      <c r="L103">
        <v>2905</v>
      </c>
      <c r="M103">
        <v>977</v>
      </c>
      <c r="N103">
        <v>33.630000000000003</v>
      </c>
      <c r="O103" s="1" t="s">
        <v>17</v>
      </c>
      <c r="P103" s="3">
        <f>covid_data[[#This Row],[Deaths]]/covid_data[[#This Row],[Confirmed]]*100</f>
        <v>1.313755795981453</v>
      </c>
      <c r="Q103" s="2">
        <f>covid_data[[#This Row],[Recovered]]/covid_data[[#This Row],[Confirmed]]</f>
        <v>0.44023699124162802</v>
      </c>
      <c r="R103" s="3">
        <f>covid_data[[#This Row],[Active]]/covid_data[[#This Row],[Confirmed]]*100</f>
        <v>54.66254507985574</v>
      </c>
      <c r="S103" s="5" t="str">
        <f>IF(covid_data[[#This Row],[New deaths]]&gt;5,"High Risk","Low Risk")</f>
        <v>Low Risk</v>
      </c>
      <c r="T103" s="6">
        <f>RANK(B103,covid_data[Confirmed],0)</f>
        <v>102</v>
      </c>
      <c r="U103" s="5" t="str">
        <f>_xlfn.IFS(B103&gt;50000,"Critical",B103&gt;10000,"High",B103&gt;5000,"Moderate",B103&gt;=10,"Low")</f>
        <v>Low</v>
      </c>
    </row>
    <row r="104" spans="1:21" x14ac:dyDescent="0.35">
      <c r="A104" s="1" t="s">
        <v>219</v>
      </c>
      <c r="B104">
        <v>3664</v>
      </c>
      <c r="C104">
        <v>99</v>
      </c>
      <c r="D104">
        <v>1645</v>
      </c>
      <c r="E104">
        <v>1920</v>
      </c>
      <c r="F104">
        <v>24</v>
      </c>
      <c r="G104">
        <v>0</v>
      </c>
      <c r="H104">
        <v>6</v>
      </c>
      <c r="I104">
        <v>2.7</v>
      </c>
      <c r="J104">
        <v>44.9</v>
      </c>
      <c r="K104" s="1" t="s">
        <v>220</v>
      </c>
      <c r="L104">
        <v>2992</v>
      </c>
      <c r="M104">
        <v>672</v>
      </c>
      <c r="N104">
        <v>22.46</v>
      </c>
      <c r="O104" s="1" t="s">
        <v>23</v>
      </c>
      <c r="P104" s="3">
        <f>covid_data[[#This Row],[Deaths]]/covid_data[[#This Row],[Confirmed]]*100</f>
        <v>2.7019650655021836</v>
      </c>
      <c r="Q104" s="2">
        <f>covid_data[[#This Row],[Recovered]]/covid_data[[#This Row],[Confirmed]]</f>
        <v>0.44896288209606988</v>
      </c>
      <c r="R104" s="3">
        <f>covid_data[[#This Row],[Active]]/covid_data[[#This Row],[Confirmed]]*100</f>
        <v>52.401746724890828</v>
      </c>
      <c r="S104" s="5" t="str">
        <f>IF(covid_data[[#This Row],[New deaths]]&gt;5,"High Risk","Low Risk")</f>
        <v>Low Risk</v>
      </c>
      <c r="T104" s="6">
        <f>RANK(B104,covid_data[Confirmed],0)</f>
        <v>103</v>
      </c>
      <c r="U104" s="5" t="str">
        <f>_xlfn.IFS(B104&gt;50000,"Critical",B104&gt;10000,"High",B104&gt;5000,"Moderate",B104&gt;=10,"Low")</f>
        <v>Low</v>
      </c>
    </row>
    <row r="105" spans="1:21" x14ac:dyDescent="0.35">
      <c r="A105" s="1" t="s">
        <v>250</v>
      </c>
      <c r="B105">
        <v>3439</v>
      </c>
      <c r="C105">
        <v>108</v>
      </c>
      <c r="D105">
        <v>2492</v>
      </c>
      <c r="E105">
        <v>839</v>
      </c>
      <c r="F105">
        <v>0</v>
      </c>
      <c r="G105">
        <v>0</v>
      </c>
      <c r="H105">
        <v>0</v>
      </c>
      <c r="I105">
        <v>3.14</v>
      </c>
      <c r="J105">
        <v>72.459999999999994</v>
      </c>
      <c r="K105" s="1" t="s">
        <v>251</v>
      </c>
      <c r="L105">
        <v>3147</v>
      </c>
      <c r="M105">
        <v>292</v>
      </c>
      <c r="N105">
        <v>9.2799999999999994</v>
      </c>
      <c r="O105" s="1" t="s">
        <v>30</v>
      </c>
      <c r="P105" s="3">
        <f>covid_data[[#This Row],[Deaths]]/covid_data[[#This Row],[Confirmed]]*100</f>
        <v>3.1404478045943587</v>
      </c>
      <c r="Q105" s="2">
        <f>covid_data[[#This Row],[Recovered]]/covid_data[[#This Row],[Confirmed]]</f>
        <v>0.72462925268973544</v>
      </c>
      <c r="R105" s="3">
        <f>covid_data[[#This Row],[Active]]/covid_data[[#This Row],[Confirmed]]*100</f>
        <v>24.396626926432102</v>
      </c>
      <c r="S105" s="5" t="str">
        <f>IF(covid_data[[#This Row],[New deaths]]&gt;5,"High Risk","Low Risk")</f>
        <v>Low Risk</v>
      </c>
      <c r="T105" s="6">
        <f>RANK(B105,covid_data[Confirmed],0)</f>
        <v>104</v>
      </c>
      <c r="U105" s="5" t="str">
        <f>_xlfn.IFS(B105&gt;50000,"Critical",B105&gt;10000,"High",B105&gt;5000,"Moderate",B105&gt;=10,"Low")</f>
        <v>Low</v>
      </c>
    </row>
    <row r="106" spans="1:21" x14ac:dyDescent="0.35">
      <c r="A106" s="1" t="s">
        <v>223</v>
      </c>
      <c r="B106">
        <v>3369</v>
      </c>
      <c r="C106">
        <v>15</v>
      </c>
      <c r="D106">
        <v>2547</v>
      </c>
      <c r="E106">
        <v>807</v>
      </c>
      <c r="F106">
        <v>67</v>
      </c>
      <c r="G106">
        <v>0</v>
      </c>
      <c r="H106">
        <v>19</v>
      </c>
      <c r="I106">
        <v>0.45</v>
      </c>
      <c r="J106">
        <v>75.599999999999994</v>
      </c>
      <c r="K106" s="1" t="s">
        <v>224</v>
      </c>
      <c r="L106">
        <v>2999</v>
      </c>
      <c r="M106">
        <v>370</v>
      </c>
      <c r="N106">
        <v>12.34</v>
      </c>
      <c r="O106" s="1" t="s">
        <v>48</v>
      </c>
      <c r="P106" s="3">
        <f>covid_data[[#This Row],[Deaths]]/covid_data[[#This Row],[Confirmed]]*100</f>
        <v>0.44523597506678536</v>
      </c>
      <c r="Q106" s="2">
        <f>covid_data[[#This Row],[Recovered]]/covid_data[[#This Row],[Confirmed]]</f>
        <v>0.75601068566340157</v>
      </c>
      <c r="R106" s="3">
        <f>covid_data[[#This Row],[Active]]/covid_data[[#This Row],[Confirmed]]*100</f>
        <v>23.953695458593057</v>
      </c>
      <c r="S106" s="5" t="str">
        <f>IF(covid_data[[#This Row],[New deaths]]&gt;5,"High Risk","Low Risk")</f>
        <v>Low Risk</v>
      </c>
      <c r="T106" s="6">
        <f>RANK(B106,covid_data[Confirmed],0)</f>
        <v>105</v>
      </c>
      <c r="U106" s="5" t="str">
        <f>_xlfn.IFS(B106&gt;50000,"Critical",B106&gt;10000,"High",B106&gt;5000,"Moderate",B106&gt;=10,"Low")</f>
        <v>Low</v>
      </c>
    </row>
    <row r="107" spans="1:21" x14ac:dyDescent="0.35">
      <c r="A107" s="1" t="s">
        <v>327</v>
      </c>
      <c r="B107">
        <v>3297</v>
      </c>
      <c r="C107">
        <v>58</v>
      </c>
      <c r="D107">
        <v>3111</v>
      </c>
      <c r="E107">
        <v>128</v>
      </c>
      <c r="F107">
        <v>6</v>
      </c>
      <c r="G107">
        <v>0</v>
      </c>
      <c r="H107">
        <v>2</v>
      </c>
      <c r="I107">
        <v>1.76</v>
      </c>
      <c r="J107">
        <v>94.36</v>
      </c>
      <c r="K107" s="1" t="s">
        <v>328</v>
      </c>
      <c r="L107">
        <v>3250</v>
      </c>
      <c r="M107">
        <v>47</v>
      </c>
      <c r="N107">
        <v>1.45</v>
      </c>
      <c r="O107" s="1" t="s">
        <v>48</v>
      </c>
      <c r="P107" s="3">
        <f>covid_data[[#This Row],[Deaths]]/covid_data[[#This Row],[Confirmed]]*100</f>
        <v>1.7591750075826509</v>
      </c>
      <c r="Q107" s="2">
        <f>covid_data[[#This Row],[Recovered]]/covid_data[[#This Row],[Confirmed]]</f>
        <v>0.94358507734303909</v>
      </c>
      <c r="R107" s="3">
        <f>covid_data[[#This Row],[Active]]/covid_data[[#This Row],[Confirmed]]*100</f>
        <v>3.8823172581134364</v>
      </c>
      <c r="S107" s="5" t="str">
        <f>IF(covid_data[[#This Row],[New deaths]]&gt;5,"High Risk","Low Risk")</f>
        <v>Low Risk</v>
      </c>
      <c r="T107" s="6">
        <f>RANK(B107,covid_data[Confirmed],0)</f>
        <v>106</v>
      </c>
      <c r="U107" s="5" t="str">
        <f>_xlfn.IFS(B107&gt;50000,"Critical",B107&gt;10000,"High",B107&gt;5000,"Moderate",B107&gt;=10,"Low")</f>
        <v>Low</v>
      </c>
    </row>
    <row r="108" spans="1:21" x14ac:dyDescent="0.35">
      <c r="A108" s="1" t="s">
        <v>98</v>
      </c>
      <c r="B108">
        <v>3200</v>
      </c>
      <c r="C108">
        <v>54</v>
      </c>
      <c r="D108">
        <v>829</v>
      </c>
      <c r="E108">
        <v>2317</v>
      </c>
      <c r="F108">
        <v>162</v>
      </c>
      <c r="G108">
        <v>3</v>
      </c>
      <c r="H108">
        <v>73</v>
      </c>
      <c r="I108">
        <v>1.69</v>
      </c>
      <c r="J108">
        <v>25.91</v>
      </c>
      <c r="K108" s="1" t="s">
        <v>99</v>
      </c>
      <c r="L108">
        <v>2851</v>
      </c>
      <c r="M108">
        <v>349</v>
      </c>
      <c r="N108">
        <v>12.24</v>
      </c>
      <c r="O108" s="1" t="s">
        <v>23</v>
      </c>
      <c r="P108" s="3">
        <f>covid_data[[#This Row],[Deaths]]/covid_data[[#This Row],[Confirmed]]*100</f>
        <v>1.6875</v>
      </c>
      <c r="Q108" s="2">
        <f>covid_data[[#This Row],[Recovered]]/covid_data[[#This Row],[Confirmed]]</f>
        <v>0.25906249999999997</v>
      </c>
      <c r="R108" s="3">
        <f>covid_data[[#This Row],[Active]]/covid_data[[#This Row],[Confirmed]]*100</f>
        <v>72.40625</v>
      </c>
      <c r="S108" s="5" t="str">
        <f>IF(covid_data[[#This Row],[New deaths]]&gt;5,"High Risk","Low Risk")</f>
        <v>Low Risk</v>
      </c>
      <c r="T108" s="6">
        <f>RANK(B108,covid_data[Confirmed],0)</f>
        <v>107</v>
      </c>
      <c r="U108" s="5" t="str">
        <f>_xlfn.IFS(B108&gt;50000,"Critical",B108&gt;10000,"High",B108&gt;5000,"Moderate",B108&gt;=10,"Low")</f>
        <v>Low</v>
      </c>
    </row>
    <row r="109" spans="1:21" x14ac:dyDescent="0.35">
      <c r="A109" s="1" t="s">
        <v>303</v>
      </c>
      <c r="B109">
        <v>3196</v>
      </c>
      <c r="C109">
        <v>93</v>
      </c>
      <c r="D109">
        <v>1543</v>
      </c>
      <c r="E109">
        <v>1560</v>
      </c>
      <c r="F109">
        <v>18</v>
      </c>
      <c r="G109">
        <v>0</v>
      </c>
      <c r="H109">
        <v>22</v>
      </c>
      <c r="I109">
        <v>2.91</v>
      </c>
      <c r="J109">
        <v>48.28</v>
      </c>
      <c r="K109" s="1" t="s">
        <v>304</v>
      </c>
      <c r="L109">
        <v>3130</v>
      </c>
      <c r="M109">
        <v>66</v>
      </c>
      <c r="N109">
        <v>2.11</v>
      </c>
      <c r="O109" s="1" t="s">
        <v>17</v>
      </c>
      <c r="P109" s="3">
        <f>covid_data[[#This Row],[Deaths]]/covid_data[[#This Row],[Confirmed]]*100</f>
        <v>2.9098873591989989</v>
      </c>
      <c r="Q109" s="2">
        <f>covid_data[[#This Row],[Recovered]]/covid_data[[#This Row],[Confirmed]]</f>
        <v>0.48279098873591991</v>
      </c>
      <c r="R109" s="3">
        <f>covid_data[[#This Row],[Active]]/covid_data[[#This Row],[Confirmed]]*100</f>
        <v>48.811013767209012</v>
      </c>
      <c r="S109" s="5" t="str">
        <f>IF(covid_data[[#This Row],[New deaths]]&gt;5,"High Risk","Low Risk")</f>
        <v>Low Risk</v>
      </c>
      <c r="T109" s="6">
        <f>RANK(B109,covid_data[Confirmed],0)</f>
        <v>108</v>
      </c>
      <c r="U109" s="5" t="str">
        <f>_xlfn.IFS(B109&gt;50000,"Critical",B109&gt;10000,"High",B109&gt;5000,"Moderate",B109&gt;=10,"Low")</f>
        <v>Low</v>
      </c>
    </row>
    <row r="110" spans="1:21" x14ac:dyDescent="0.35">
      <c r="A110" s="1" t="s">
        <v>126</v>
      </c>
      <c r="B110">
        <v>3071</v>
      </c>
      <c r="C110">
        <v>51</v>
      </c>
      <c r="D110">
        <v>842</v>
      </c>
      <c r="E110">
        <v>2178</v>
      </c>
      <c r="F110">
        <v>0</v>
      </c>
      <c r="G110">
        <v>0</v>
      </c>
      <c r="H110">
        <v>0</v>
      </c>
      <c r="I110">
        <v>1.66</v>
      </c>
      <c r="J110">
        <v>27.42</v>
      </c>
      <c r="K110" s="1" t="s">
        <v>127</v>
      </c>
      <c r="L110">
        <v>3071</v>
      </c>
      <c r="M110">
        <v>0</v>
      </c>
      <c r="N110">
        <v>0</v>
      </c>
      <c r="O110" s="1" t="s">
        <v>23</v>
      </c>
      <c r="P110" s="3">
        <f>covid_data[[#This Row],[Deaths]]/covid_data[[#This Row],[Confirmed]]*100</f>
        <v>1.6606968414197329</v>
      </c>
      <c r="Q110" s="2">
        <f>covid_data[[#This Row],[Recovered]]/covid_data[[#This Row],[Confirmed]]</f>
        <v>0.27417779225008143</v>
      </c>
      <c r="R110" s="3">
        <f>covid_data[[#This Row],[Active]]/covid_data[[#This Row],[Confirmed]]*100</f>
        <v>70.921523933572132</v>
      </c>
      <c r="S110" s="5" t="str">
        <f>IF(covid_data[[#This Row],[New deaths]]&gt;5,"High Risk","Low Risk")</f>
        <v>Low Risk</v>
      </c>
      <c r="T110" s="6">
        <f>RANK(B110,covid_data[Confirmed],0)</f>
        <v>109</v>
      </c>
      <c r="U110" s="5" t="str">
        <f>_xlfn.IFS(B110&gt;50000,"Critical",B110&gt;10000,"High",B110&gt;5000,"Moderate",B110&gt;=10,"Low")</f>
        <v>Low</v>
      </c>
    </row>
    <row r="111" spans="1:21" x14ac:dyDescent="0.35">
      <c r="A111" s="1" t="s">
        <v>238</v>
      </c>
      <c r="B111">
        <v>2893</v>
      </c>
      <c r="C111">
        <v>45</v>
      </c>
      <c r="D111">
        <v>809</v>
      </c>
      <c r="E111">
        <v>2039</v>
      </c>
      <c r="F111">
        <v>94</v>
      </c>
      <c r="G111">
        <v>2</v>
      </c>
      <c r="H111">
        <v>70</v>
      </c>
      <c r="I111">
        <v>1.56</v>
      </c>
      <c r="J111">
        <v>27.96</v>
      </c>
      <c r="K111" s="1" t="s">
        <v>239</v>
      </c>
      <c r="L111">
        <v>2188</v>
      </c>
      <c r="M111">
        <v>705</v>
      </c>
      <c r="N111">
        <v>32.22</v>
      </c>
      <c r="O111" s="1" t="s">
        <v>20</v>
      </c>
      <c r="P111" s="3">
        <f>covid_data[[#This Row],[Deaths]]/covid_data[[#This Row],[Confirmed]]*100</f>
        <v>1.5554787417905289</v>
      </c>
      <c r="Q111" s="2">
        <f>covid_data[[#This Row],[Recovered]]/covid_data[[#This Row],[Confirmed]]</f>
        <v>0.27964051157967507</v>
      </c>
      <c r="R111" s="3">
        <f>covid_data[[#This Row],[Active]]/covid_data[[#This Row],[Confirmed]]*100</f>
        <v>70.480470100241959</v>
      </c>
      <c r="S111" s="5" t="str">
        <f>IF(covid_data[[#This Row],[New deaths]]&gt;5,"High Risk","Low Risk")</f>
        <v>Low Risk</v>
      </c>
      <c r="T111" s="6">
        <f>RANK(B111,covid_data[Confirmed],0)</f>
        <v>110</v>
      </c>
      <c r="U111" s="5" t="str">
        <f>_xlfn.IFS(B111&gt;50000,"Critical",B111&gt;10000,"High",B111&gt;5000,"Moderate",B111&gt;=10,"Low")</f>
        <v>Low</v>
      </c>
    </row>
    <row r="112" spans="1:21" x14ac:dyDescent="0.35">
      <c r="A112" s="1" t="s">
        <v>209</v>
      </c>
      <c r="B112">
        <v>2827</v>
      </c>
      <c r="C112">
        <v>64</v>
      </c>
      <c r="D112">
        <v>577</v>
      </c>
      <c r="E112">
        <v>2186</v>
      </c>
      <c r="F112">
        <v>158</v>
      </c>
      <c r="G112">
        <v>4</v>
      </c>
      <c r="H112">
        <v>24</v>
      </c>
      <c r="I112">
        <v>2.2599999999999998</v>
      </c>
      <c r="J112">
        <v>20.41</v>
      </c>
      <c r="K112" s="1" t="s">
        <v>210</v>
      </c>
      <c r="L112">
        <v>1980</v>
      </c>
      <c r="M112">
        <v>847</v>
      </c>
      <c r="N112">
        <v>42.78</v>
      </c>
      <c r="O112" s="1" t="s">
        <v>17</v>
      </c>
      <c r="P112" s="3">
        <f>covid_data[[#This Row],[Deaths]]/covid_data[[#This Row],[Confirmed]]*100</f>
        <v>2.2638839759462326</v>
      </c>
      <c r="Q112" s="2">
        <f>covid_data[[#This Row],[Recovered]]/covid_data[[#This Row],[Confirmed]]</f>
        <v>0.20410328970640254</v>
      </c>
      <c r="R112" s="3">
        <f>covid_data[[#This Row],[Active]]/covid_data[[#This Row],[Confirmed]]*100</f>
        <v>77.325787053413507</v>
      </c>
      <c r="S112" s="5" t="str">
        <f>IF(covid_data[[#This Row],[New deaths]]&gt;5,"High Risk","Low Risk")</f>
        <v>Low Risk</v>
      </c>
      <c r="T112" s="6">
        <f>RANK(B112,covid_data[Confirmed],0)</f>
        <v>111</v>
      </c>
      <c r="U112" s="5" t="str">
        <f>_xlfn.IFS(B112&gt;50000,"Critical",B112&gt;10000,"High",B112&gt;5000,"Moderate",B112&gt;=10,"Low")</f>
        <v>Low</v>
      </c>
    </row>
    <row r="113" spans="1:21" x14ac:dyDescent="0.35">
      <c r="A113" s="1" t="s">
        <v>312</v>
      </c>
      <c r="B113">
        <v>2805</v>
      </c>
      <c r="C113">
        <v>11</v>
      </c>
      <c r="D113">
        <v>2121</v>
      </c>
      <c r="E113">
        <v>673</v>
      </c>
      <c r="F113">
        <v>23</v>
      </c>
      <c r="G113">
        <v>0</v>
      </c>
      <c r="H113">
        <v>15</v>
      </c>
      <c r="I113">
        <v>0.39</v>
      </c>
      <c r="J113">
        <v>75.61</v>
      </c>
      <c r="K113" s="1" t="s">
        <v>313</v>
      </c>
      <c r="L113">
        <v>2730</v>
      </c>
      <c r="M113">
        <v>75</v>
      </c>
      <c r="N113">
        <v>2.75</v>
      </c>
      <c r="O113" s="1" t="s">
        <v>48</v>
      </c>
      <c r="P113" s="3">
        <f>covid_data[[#This Row],[Deaths]]/covid_data[[#This Row],[Confirmed]]*100</f>
        <v>0.39215686274509803</v>
      </c>
      <c r="Q113" s="2">
        <f>covid_data[[#This Row],[Recovered]]/covid_data[[#This Row],[Confirmed]]</f>
        <v>0.75614973262032081</v>
      </c>
      <c r="R113" s="3">
        <f>covid_data[[#This Row],[Active]]/covid_data[[#This Row],[Confirmed]]*100</f>
        <v>23.992869875222816</v>
      </c>
      <c r="S113" s="5" t="str">
        <f>IF(covid_data[[#This Row],[New deaths]]&gt;5,"High Risk","Low Risk")</f>
        <v>Low Risk</v>
      </c>
      <c r="T113" s="6">
        <f>RANK(B113,covid_data[Confirmed],0)</f>
        <v>112</v>
      </c>
      <c r="U113" s="5" t="str">
        <f>_xlfn.IFS(B113&gt;50000,"Critical",B113&gt;10000,"High",B113&gt;5000,"Moderate",B113&gt;=10,"Low")</f>
        <v>Low</v>
      </c>
    </row>
    <row r="114" spans="1:21" x14ac:dyDescent="0.35">
      <c r="A114" s="1" t="s">
        <v>361</v>
      </c>
      <c r="B114">
        <v>2704</v>
      </c>
      <c r="C114">
        <v>36</v>
      </c>
      <c r="D114">
        <v>542</v>
      </c>
      <c r="E114">
        <v>2126</v>
      </c>
      <c r="F114">
        <v>192</v>
      </c>
      <c r="G114">
        <v>2</v>
      </c>
      <c r="H114">
        <v>24</v>
      </c>
      <c r="I114">
        <v>1.33</v>
      </c>
      <c r="J114">
        <v>20.04</v>
      </c>
      <c r="K114" s="1" t="s">
        <v>362</v>
      </c>
      <c r="L114">
        <v>1713</v>
      </c>
      <c r="M114">
        <v>991</v>
      </c>
      <c r="N114">
        <v>57.85</v>
      </c>
      <c r="O114" s="1" t="s">
        <v>23</v>
      </c>
      <c r="P114" s="3">
        <f>covid_data[[#This Row],[Deaths]]/covid_data[[#This Row],[Confirmed]]*100</f>
        <v>1.3313609467455623</v>
      </c>
      <c r="Q114" s="2">
        <f>covid_data[[#This Row],[Recovered]]/covid_data[[#This Row],[Confirmed]]</f>
        <v>0.20044378698224852</v>
      </c>
      <c r="R114" s="3">
        <f>covid_data[[#This Row],[Active]]/covid_data[[#This Row],[Confirmed]]*100</f>
        <v>78.624260355029591</v>
      </c>
      <c r="S114" s="5" t="str">
        <f>IF(covid_data[[#This Row],[New deaths]]&gt;5,"High Risk","Low Risk")</f>
        <v>Low Risk</v>
      </c>
      <c r="T114" s="6">
        <f>RANK(B114,covid_data[Confirmed],0)</f>
        <v>113</v>
      </c>
      <c r="U114" s="5" t="str">
        <f>_xlfn.IFS(B114&gt;50000,"Critical",B114&gt;10000,"High",B114&gt;5000,"Moderate",B114&gt;=10,"Low")</f>
        <v>Low</v>
      </c>
    </row>
    <row r="115" spans="1:21" x14ac:dyDescent="0.35">
      <c r="A115" s="1" t="s">
        <v>108</v>
      </c>
      <c r="B115">
        <v>2532</v>
      </c>
      <c r="C115">
        <v>87</v>
      </c>
      <c r="D115">
        <v>2351</v>
      </c>
      <c r="E115">
        <v>94</v>
      </c>
      <c r="F115">
        <v>37</v>
      </c>
      <c r="G115">
        <v>0</v>
      </c>
      <c r="H115">
        <v>2</v>
      </c>
      <c r="I115">
        <v>3.44</v>
      </c>
      <c r="J115">
        <v>92.85</v>
      </c>
      <c r="K115" s="1" t="s">
        <v>109</v>
      </c>
      <c r="L115">
        <v>2446</v>
      </c>
      <c r="M115">
        <v>86</v>
      </c>
      <c r="N115">
        <v>3.52</v>
      </c>
      <c r="O115" s="1" t="s">
        <v>30</v>
      </c>
      <c r="P115" s="3">
        <f>covid_data[[#This Row],[Deaths]]/covid_data[[#This Row],[Confirmed]]*100</f>
        <v>3.4360189573459716</v>
      </c>
      <c r="Q115" s="2">
        <f>covid_data[[#This Row],[Recovered]]/covid_data[[#This Row],[Confirmed]]</f>
        <v>0.92851500789889418</v>
      </c>
      <c r="R115" s="3">
        <f>covid_data[[#This Row],[Active]]/covid_data[[#This Row],[Confirmed]]*100</f>
        <v>3.7124802527646126</v>
      </c>
      <c r="S115" s="5" t="str">
        <f>IF(covid_data[[#This Row],[New deaths]]&gt;5,"High Risk","Low Risk")</f>
        <v>Low Risk</v>
      </c>
      <c r="T115" s="6">
        <f>RANK(B115,covid_data[Confirmed],0)</f>
        <v>114</v>
      </c>
      <c r="U115" s="5" t="str">
        <f>_xlfn.IFS(B115&gt;50000,"Critical",B115&gt;10000,"High",B115&gt;5000,"Moderate",B115&gt;=10,"Low")</f>
        <v>Low</v>
      </c>
    </row>
    <row r="116" spans="1:21" x14ac:dyDescent="0.35">
      <c r="A116" s="1" t="s">
        <v>225</v>
      </c>
      <c r="B116">
        <v>2513</v>
      </c>
      <c r="C116">
        <v>124</v>
      </c>
      <c r="D116">
        <v>1913</v>
      </c>
      <c r="E116">
        <v>476</v>
      </c>
      <c r="F116">
        <v>3</v>
      </c>
      <c r="G116">
        <v>1</v>
      </c>
      <c r="H116">
        <v>2</v>
      </c>
      <c r="I116">
        <v>4.93</v>
      </c>
      <c r="J116">
        <v>76.12</v>
      </c>
      <c r="K116" s="1" t="s">
        <v>25</v>
      </c>
      <c r="L116">
        <v>2475</v>
      </c>
      <c r="M116">
        <v>38</v>
      </c>
      <c r="N116">
        <v>1.54</v>
      </c>
      <c r="O116" s="1" t="s">
        <v>23</v>
      </c>
      <c r="P116" s="3">
        <f>covid_data[[#This Row],[Deaths]]/covid_data[[#This Row],[Confirmed]]*100</f>
        <v>4.9343414245921213</v>
      </c>
      <c r="Q116" s="2">
        <f>covid_data[[#This Row],[Recovered]]/covid_data[[#This Row],[Confirmed]]</f>
        <v>0.76124154397134902</v>
      </c>
      <c r="R116" s="3">
        <f>covid_data[[#This Row],[Active]]/covid_data[[#This Row],[Confirmed]]*100</f>
        <v>18.941504178272979</v>
      </c>
      <c r="S116" s="5" t="str">
        <f>IF(covid_data[[#This Row],[New deaths]]&gt;5,"High Risk","Low Risk")</f>
        <v>Low Risk</v>
      </c>
      <c r="T116" s="6">
        <f>RANK(B116,covid_data[Confirmed],0)</f>
        <v>115</v>
      </c>
      <c r="U116" s="5" t="str">
        <f>_xlfn.IFS(B116&gt;50000,"Critical",B116&gt;10000,"High",B116&gt;5000,"Moderate",B116&gt;=10,"Low")</f>
        <v>Low</v>
      </c>
    </row>
    <row r="117" spans="1:21" x14ac:dyDescent="0.35">
      <c r="A117" s="1" t="s">
        <v>79</v>
      </c>
      <c r="B117">
        <v>2328</v>
      </c>
      <c r="C117">
        <v>22</v>
      </c>
      <c r="D117">
        <v>1550</v>
      </c>
      <c r="E117">
        <v>756</v>
      </c>
      <c r="F117">
        <v>21</v>
      </c>
      <c r="G117">
        <v>0</v>
      </c>
      <c r="H117">
        <v>103</v>
      </c>
      <c r="I117">
        <v>0.95</v>
      </c>
      <c r="J117">
        <v>66.58</v>
      </c>
      <c r="K117" s="1" t="s">
        <v>80</v>
      </c>
      <c r="L117">
        <v>2071</v>
      </c>
      <c r="M117">
        <v>257</v>
      </c>
      <c r="N117">
        <v>12.41</v>
      </c>
      <c r="O117" s="1" t="s">
        <v>23</v>
      </c>
      <c r="P117" s="3">
        <f>covid_data[[#This Row],[Deaths]]/covid_data[[#This Row],[Confirmed]]*100</f>
        <v>0.94501718213058417</v>
      </c>
      <c r="Q117" s="2">
        <f>covid_data[[#This Row],[Recovered]]/covid_data[[#This Row],[Confirmed]]</f>
        <v>0.66580756013745701</v>
      </c>
      <c r="R117" s="3">
        <f>covid_data[[#This Row],[Active]]/covid_data[[#This Row],[Confirmed]]*100</f>
        <v>32.47422680412371</v>
      </c>
      <c r="S117" s="5" t="str">
        <f>IF(covid_data[[#This Row],[New deaths]]&gt;5,"High Risk","Low Risk")</f>
        <v>Low Risk</v>
      </c>
      <c r="T117" s="6">
        <f>RANK(B117,covid_data[Confirmed],0)</f>
        <v>116</v>
      </c>
      <c r="U117" s="5" t="str">
        <f>_xlfn.IFS(B117&gt;50000,"Critical",B117&gt;10000,"High",B117&gt;5000,"Moderate",B117&gt;=10,"Low")</f>
        <v>Low</v>
      </c>
    </row>
    <row r="118" spans="1:21" x14ac:dyDescent="0.35">
      <c r="A118" s="1" t="s">
        <v>130</v>
      </c>
      <c r="B118">
        <v>2316</v>
      </c>
      <c r="C118">
        <v>34</v>
      </c>
      <c r="D118">
        <v>1025</v>
      </c>
      <c r="E118">
        <v>1257</v>
      </c>
      <c r="F118">
        <v>109</v>
      </c>
      <c r="G118">
        <v>2</v>
      </c>
      <c r="H118">
        <v>39</v>
      </c>
      <c r="I118">
        <v>1.47</v>
      </c>
      <c r="J118">
        <v>44.26</v>
      </c>
      <c r="K118" s="1" t="s">
        <v>131</v>
      </c>
      <c r="L118">
        <v>1826</v>
      </c>
      <c r="M118">
        <v>490</v>
      </c>
      <c r="N118">
        <v>26.83</v>
      </c>
      <c r="O118" s="1" t="s">
        <v>23</v>
      </c>
      <c r="P118" s="3">
        <f>covid_data[[#This Row],[Deaths]]/covid_data[[#This Row],[Confirmed]]*100</f>
        <v>1.468048359240069</v>
      </c>
      <c r="Q118" s="2">
        <f>covid_data[[#This Row],[Recovered]]/covid_data[[#This Row],[Confirmed]]</f>
        <v>0.442573402417962</v>
      </c>
      <c r="R118" s="3">
        <f>covid_data[[#This Row],[Active]]/covid_data[[#This Row],[Confirmed]]*100</f>
        <v>54.274611398963735</v>
      </c>
      <c r="S118" s="5" t="str">
        <f>IF(covid_data[[#This Row],[New deaths]]&gt;5,"High Risk","Low Risk")</f>
        <v>Low Risk</v>
      </c>
      <c r="T118" s="6">
        <f>RANK(B118,covid_data[Confirmed],0)</f>
        <v>117</v>
      </c>
      <c r="U118" s="5" t="str">
        <f>_xlfn.IFS(B118&gt;50000,"Critical",B118&gt;10000,"High",B118&gt;5000,"Moderate",B118&gt;=10,"Low")</f>
        <v>Low</v>
      </c>
    </row>
    <row r="119" spans="1:21" x14ac:dyDescent="0.35">
      <c r="A119" s="1" t="s">
        <v>309</v>
      </c>
      <c r="B119">
        <v>2305</v>
      </c>
      <c r="C119">
        <v>46</v>
      </c>
      <c r="D119">
        <v>1175</v>
      </c>
      <c r="E119">
        <v>1084</v>
      </c>
      <c r="F119">
        <v>43</v>
      </c>
      <c r="G119">
        <v>1</v>
      </c>
      <c r="H119">
        <v>0</v>
      </c>
      <c r="I119">
        <v>2</v>
      </c>
      <c r="J119">
        <v>50.98</v>
      </c>
      <c r="K119" s="1" t="s">
        <v>39</v>
      </c>
      <c r="L119">
        <v>2211</v>
      </c>
      <c r="M119">
        <v>94</v>
      </c>
      <c r="N119">
        <v>4.25</v>
      </c>
      <c r="O119" s="1" t="s">
        <v>23</v>
      </c>
      <c r="P119" s="3">
        <f>covid_data[[#This Row],[Deaths]]/covid_data[[#This Row],[Confirmed]]*100</f>
        <v>1.9956616052060738</v>
      </c>
      <c r="Q119" s="2">
        <f>covid_data[[#This Row],[Recovered]]/covid_data[[#This Row],[Confirmed]]</f>
        <v>0.50976138828633411</v>
      </c>
      <c r="R119" s="3">
        <f>covid_data[[#This Row],[Active]]/covid_data[[#This Row],[Confirmed]]*100</f>
        <v>47.028199566160524</v>
      </c>
      <c r="S119" s="5" t="str">
        <f>IF(covid_data[[#This Row],[New deaths]]&gt;5,"High Risk","Low Risk")</f>
        <v>Low Risk</v>
      </c>
      <c r="T119" s="6">
        <f>RANK(B119,covid_data[Confirmed],0)</f>
        <v>118</v>
      </c>
      <c r="U119" s="5" t="str">
        <f>_xlfn.IFS(B119&gt;50000,"Critical",B119&gt;10000,"High",B119&gt;5000,"Moderate",B119&gt;=10,"Low")</f>
        <v>Low</v>
      </c>
    </row>
    <row r="120" spans="1:21" x14ac:dyDescent="0.35">
      <c r="A120" s="1" t="s">
        <v>300</v>
      </c>
      <c r="B120">
        <v>2181</v>
      </c>
      <c r="C120">
        <v>28</v>
      </c>
      <c r="D120">
        <v>1616</v>
      </c>
      <c r="E120">
        <v>537</v>
      </c>
      <c r="F120">
        <v>2</v>
      </c>
      <c r="G120">
        <v>0</v>
      </c>
      <c r="H120">
        <v>39</v>
      </c>
      <c r="I120">
        <v>1.28</v>
      </c>
      <c r="J120">
        <v>74.09</v>
      </c>
      <c r="K120" s="1" t="s">
        <v>301</v>
      </c>
      <c r="L120">
        <v>1980</v>
      </c>
      <c r="M120">
        <v>201</v>
      </c>
      <c r="N120">
        <v>10.15</v>
      </c>
      <c r="O120" s="1" t="s">
        <v>20</v>
      </c>
      <c r="P120" s="3">
        <f>covid_data[[#This Row],[Deaths]]/covid_data[[#This Row],[Confirmed]]*100</f>
        <v>1.2838147638697845</v>
      </c>
      <c r="Q120" s="2">
        <f>covid_data[[#This Row],[Recovered]]/covid_data[[#This Row],[Confirmed]]</f>
        <v>0.74094452086198992</v>
      </c>
      <c r="R120" s="3">
        <f>covid_data[[#This Row],[Active]]/covid_data[[#This Row],[Confirmed]]*100</f>
        <v>24.621733149931224</v>
      </c>
      <c r="S120" s="5" t="str">
        <f>IF(covid_data[[#This Row],[New deaths]]&gt;5,"High Risk","Low Risk")</f>
        <v>Low Risk</v>
      </c>
      <c r="T120" s="6">
        <f>RANK(B120,covid_data[Confirmed],0)</f>
        <v>119</v>
      </c>
      <c r="U120" s="5" t="str">
        <f>_xlfn.IFS(B120&gt;50000,"Critical",B120&gt;10000,"High",B120&gt;5000,"Moderate",B120&gt;=10,"Low")</f>
        <v>Low</v>
      </c>
    </row>
    <row r="121" spans="1:21" x14ac:dyDescent="0.35">
      <c r="A121" s="1" t="s">
        <v>302</v>
      </c>
      <c r="B121">
        <v>2087</v>
      </c>
      <c r="C121">
        <v>116</v>
      </c>
      <c r="D121">
        <v>1733</v>
      </c>
      <c r="E121">
        <v>238</v>
      </c>
      <c r="F121">
        <v>5</v>
      </c>
      <c r="G121">
        <v>0</v>
      </c>
      <c r="H121">
        <v>55</v>
      </c>
      <c r="I121">
        <v>5.56</v>
      </c>
      <c r="J121">
        <v>83.04</v>
      </c>
      <c r="K121" s="1" t="s">
        <v>95</v>
      </c>
      <c r="L121">
        <v>1953</v>
      </c>
      <c r="M121">
        <v>134</v>
      </c>
      <c r="N121">
        <v>6.86</v>
      </c>
      <c r="O121" s="1" t="s">
        <v>20</v>
      </c>
      <c r="P121" s="3">
        <f>covid_data[[#This Row],[Deaths]]/covid_data[[#This Row],[Confirmed]]*100</f>
        <v>5.5582175371346434</v>
      </c>
      <c r="Q121" s="2">
        <f>covid_data[[#This Row],[Recovered]]/covid_data[[#This Row],[Confirmed]]</f>
        <v>0.83037853378054627</v>
      </c>
      <c r="R121" s="3">
        <f>covid_data[[#This Row],[Active]]/covid_data[[#This Row],[Confirmed]]*100</f>
        <v>11.403929084810734</v>
      </c>
      <c r="S121" s="5" t="str">
        <f>IF(covid_data[[#This Row],[New deaths]]&gt;5,"High Risk","Low Risk")</f>
        <v>Low Risk</v>
      </c>
      <c r="T121" s="6">
        <f>RANK(B121,covid_data[Confirmed],0)</f>
        <v>120</v>
      </c>
      <c r="U121" s="5" t="str">
        <f>_xlfn.IFS(B121&gt;50000,"Critical",B121&gt;10000,"High",B121&gt;5000,"Moderate",B121&gt;=10,"Low")</f>
        <v>Low</v>
      </c>
    </row>
    <row r="122" spans="1:21" x14ac:dyDescent="0.35">
      <c r="A122" s="1" t="s">
        <v>129</v>
      </c>
      <c r="B122">
        <v>2034</v>
      </c>
      <c r="C122">
        <v>69</v>
      </c>
      <c r="D122">
        <v>1923</v>
      </c>
      <c r="E122">
        <v>42</v>
      </c>
      <c r="F122">
        <v>0</v>
      </c>
      <c r="G122">
        <v>0</v>
      </c>
      <c r="H122">
        <v>1</v>
      </c>
      <c r="I122">
        <v>3.39</v>
      </c>
      <c r="J122">
        <v>94.54</v>
      </c>
      <c r="K122" s="1" t="s">
        <v>120</v>
      </c>
      <c r="L122">
        <v>2021</v>
      </c>
      <c r="M122">
        <v>13</v>
      </c>
      <c r="N122">
        <v>0.64</v>
      </c>
      <c r="O122" s="1" t="s">
        <v>20</v>
      </c>
      <c r="P122" s="3">
        <f>covid_data[[#This Row],[Deaths]]/covid_data[[#This Row],[Confirmed]]*100</f>
        <v>3.3923303834808261</v>
      </c>
      <c r="Q122" s="2">
        <f>covid_data[[#This Row],[Recovered]]/covid_data[[#This Row],[Confirmed]]</f>
        <v>0.94542772861356927</v>
      </c>
      <c r="R122" s="3">
        <f>covid_data[[#This Row],[Active]]/covid_data[[#This Row],[Confirmed]]*100</f>
        <v>2.0648967551622417</v>
      </c>
      <c r="S122" s="5" t="str">
        <f>IF(covid_data[[#This Row],[New deaths]]&gt;5,"High Risk","Low Risk")</f>
        <v>Low Risk</v>
      </c>
      <c r="T122" s="6">
        <f>RANK(B122,covid_data[Confirmed],0)</f>
        <v>121</v>
      </c>
      <c r="U122" s="5" t="str">
        <f>_xlfn.IFS(B122&gt;50000,"Critical",B122&gt;10000,"High",B122&gt;5000,"Moderate",B122&gt;=10,"Low")</f>
        <v>Low</v>
      </c>
    </row>
    <row r="123" spans="1:21" x14ac:dyDescent="0.35">
      <c r="A123" s="1" t="s">
        <v>213</v>
      </c>
      <c r="B123">
        <v>2019</v>
      </c>
      <c r="C123">
        <v>80</v>
      </c>
      <c r="D123">
        <v>1620</v>
      </c>
      <c r="E123">
        <v>319</v>
      </c>
      <c r="F123">
        <v>11</v>
      </c>
      <c r="G123">
        <v>0</v>
      </c>
      <c r="H123">
        <v>4</v>
      </c>
      <c r="I123">
        <v>3.96</v>
      </c>
      <c r="J123">
        <v>80.239999999999995</v>
      </c>
      <c r="K123" s="1" t="s">
        <v>214</v>
      </c>
      <c r="L123">
        <v>1947</v>
      </c>
      <c r="M123">
        <v>72</v>
      </c>
      <c r="N123">
        <v>3.7</v>
      </c>
      <c r="O123" s="1" t="s">
        <v>20</v>
      </c>
      <c r="P123" s="3">
        <f>covid_data[[#This Row],[Deaths]]/covid_data[[#This Row],[Confirmed]]*100</f>
        <v>3.96235760277365</v>
      </c>
      <c r="Q123" s="2">
        <f>covid_data[[#This Row],[Recovered]]/covid_data[[#This Row],[Confirmed]]</f>
        <v>0.80237741456166423</v>
      </c>
      <c r="R123" s="3">
        <f>covid_data[[#This Row],[Active]]/covid_data[[#This Row],[Confirmed]]*100</f>
        <v>15.79990094105993</v>
      </c>
      <c r="S123" s="5" t="str">
        <f>IF(covid_data[[#This Row],[New deaths]]&gt;5,"High Risk","Low Risk")</f>
        <v>Low Risk</v>
      </c>
      <c r="T123" s="6">
        <f>RANK(B123,covid_data[Confirmed],0)</f>
        <v>122</v>
      </c>
      <c r="U123" s="5" t="str">
        <f>_xlfn.IFS(B123&gt;50000,"Critical",B123&gt;10000,"High",B123&gt;5000,"Moderate",B123&gt;=10,"Low")</f>
        <v>Low</v>
      </c>
    </row>
    <row r="124" spans="1:21" x14ac:dyDescent="0.35">
      <c r="A124" s="1" t="s">
        <v>157</v>
      </c>
      <c r="B124">
        <v>1954</v>
      </c>
      <c r="C124">
        <v>26</v>
      </c>
      <c r="D124">
        <v>803</v>
      </c>
      <c r="E124">
        <v>1125</v>
      </c>
      <c r="F124">
        <v>0</v>
      </c>
      <c r="G124">
        <v>0</v>
      </c>
      <c r="H124">
        <v>0</v>
      </c>
      <c r="I124">
        <v>1.33</v>
      </c>
      <c r="J124">
        <v>41.1</v>
      </c>
      <c r="K124" s="1" t="s">
        <v>158</v>
      </c>
      <c r="L124">
        <v>1949</v>
      </c>
      <c r="M124">
        <v>5</v>
      </c>
      <c r="N124">
        <v>0.26</v>
      </c>
      <c r="O124" s="1" t="s">
        <v>23</v>
      </c>
      <c r="P124" s="3">
        <f>covid_data[[#This Row],[Deaths]]/covid_data[[#This Row],[Confirmed]]*100</f>
        <v>1.3306038894575232</v>
      </c>
      <c r="Q124" s="2">
        <f>covid_data[[#This Row],[Recovered]]/covid_data[[#This Row],[Confirmed]]</f>
        <v>0.41095189355168882</v>
      </c>
      <c r="R124" s="3">
        <f>covid_data[[#This Row],[Active]]/covid_data[[#This Row],[Confirmed]]*100</f>
        <v>57.574206755373595</v>
      </c>
      <c r="S124" s="5" t="str">
        <f>IF(covid_data[[#This Row],[New deaths]]&gt;5,"High Risk","Low Risk")</f>
        <v>Low Risk</v>
      </c>
      <c r="T124" s="6">
        <f>RANK(B124,covid_data[Confirmed],0)</f>
        <v>123</v>
      </c>
      <c r="U124" s="5" t="str">
        <f>_xlfn.IFS(B124&gt;50000,"Critical",B124&gt;10000,"High",B124&gt;5000,"Moderate",B124&gt;=10,"Low")</f>
        <v>Low</v>
      </c>
    </row>
    <row r="125" spans="1:21" x14ac:dyDescent="0.35">
      <c r="A125" s="1" t="s">
        <v>282</v>
      </c>
      <c r="B125">
        <v>1879</v>
      </c>
      <c r="C125">
        <v>5</v>
      </c>
      <c r="D125">
        <v>975</v>
      </c>
      <c r="E125">
        <v>899</v>
      </c>
      <c r="F125">
        <v>58</v>
      </c>
      <c r="G125">
        <v>0</v>
      </c>
      <c r="H125">
        <v>57</v>
      </c>
      <c r="I125">
        <v>0.27</v>
      </c>
      <c r="J125">
        <v>51.89</v>
      </c>
      <c r="K125" s="1" t="s">
        <v>283</v>
      </c>
      <c r="L125">
        <v>1629</v>
      </c>
      <c r="M125">
        <v>250</v>
      </c>
      <c r="N125">
        <v>15.35</v>
      </c>
      <c r="O125" s="1" t="s">
        <v>23</v>
      </c>
      <c r="P125" s="3">
        <f>covid_data[[#This Row],[Deaths]]/covid_data[[#This Row],[Confirmed]]*100</f>
        <v>0.26609898882384247</v>
      </c>
      <c r="Q125" s="2">
        <f>covid_data[[#This Row],[Recovered]]/covid_data[[#This Row],[Confirmed]]</f>
        <v>0.51889302820649286</v>
      </c>
      <c r="R125" s="3">
        <f>covid_data[[#This Row],[Active]]/covid_data[[#This Row],[Confirmed]]*100</f>
        <v>47.844598190526874</v>
      </c>
      <c r="S125" s="5" t="str">
        <f>IF(covid_data[[#This Row],[New deaths]]&gt;5,"High Risk","Low Risk")</f>
        <v>Low Risk</v>
      </c>
      <c r="T125" s="6">
        <f>RANK(B125,covid_data[Confirmed],0)</f>
        <v>124</v>
      </c>
      <c r="U125" s="5" t="str">
        <f>_xlfn.IFS(B125&gt;50000,"Critical",B125&gt;10000,"High",B125&gt;5000,"Moderate",B125&gt;=10,"Low")</f>
        <v>Low</v>
      </c>
    </row>
    <row r="126" spans="1:21" x14ac:dyDescent="0.35">
      <c r="A126" s="1" t="s">
        <v>168</v>
      </c>
      <c r="B126">
        <v>1854</v>
      </c>
      <c r="C126">
        <v>10</v>
      </c>
      <c r="D126">
        <v>1823</v>
      </c>
      <c r="E126">
        <v>21</v>
      </c>
      <c r="F126">
        <v>7</v>
      </c>
      <c r="G126">
        <v>0</v>
      </c>
      <c r="H126">
        <v>0</v>
      </c>
      <c r="I126">
        <v>0.54</v>
      </c>
      <c r="J126">
        <v>98.33</v>
      </c>
      <c r="K126" s="1" t="s">
        <v>169</v>
      </c>
      <c r="L126">
        <v>1839</v>
      </c>
      <c r="M126">
        <v>15</v>
      </c>
      <c r="N126">
        <v>0.82</v>
      </c>
      <c r="O126" s="1" t="s">
        <v>20</v>
      </c>
      <c r="P126" s="3">
        <f>covid_data[[#This Row],[Deaths]]/covid_data[[#This Row],[Confirmed]]*100</f>
        <v>0.53937432578209277</v>
      </c>
      <c r="Q126" s="2">
        <f>covid_data[[#This Row],[Recovered]]/covid_data[[#This Row],[Confirmed]]</f>
        <v>0.98327939590075508</v>
      </c>
      <c r="R126" s="3">
        <f>covid_data[[#This Row],[Active]]/covid_data[[#This Row],[Confirmed]]*100</f>
        <v>1.1326860841423949</v>
      </c>
      <c r="S126" s="5" t="str">
        <f>IF(covid_data[[#This Row],[New deaths]]&gt;5,"High Risk","Low Risk")</f>
        <v>Low Risk</v>
      </c>
      <c r="T126" s="6">
        <f>RANK(B126,covid_data[Confirmed],0)</f>
        <v>125</v>
      </c>
      <c r="U126" s="5" t="str">
        <f>_xlfn.IFS(B126&gt;50000,"Critical",B126&gt;10000,"High",B126&gt;5000,"Moderate",B126&gt;=10,"Low")</f>
        <v>Low</v>
      </c>
    </row>
    <row r="127" spans="1:21" x14ac:dyDescent="0.35">
      <c r="A127" s="1" t="s">
        <v>243</v>
      </c>
      <c r="B127">
        <v>1843</v>
      </c>
      <c r="C127">
        <v>8</v>
      </c>
      <c r="D127">
        <v>101</v>
      </c>
      <c r="E127">
        <v>1734</v>
      </c>
      <c r="F127">
        <v>68</v>
      </c>
      <c r="G127">
        <v>0</v>
      </c>
      <c r="H127">
        <v>26</v>
      </c>
      <c r="I127">
        <v>0.43</v>
      </c>
      <c r="J127">
        <v>5.48</v>
      </c>
      <c r="K127" s="1" t="s">
        <v>244</v>
      </c>
      <c r="L127">
        <v>1344</v>
      </c>
      <c r="M127">
        <v>499</v>
      </c>
      <c r="N127">
        <v>37.130000000000003</v>
      </c>
      <c r="O127" s="1" t="s">
        <v>23</v>
      </c>
      <c r="P127" s="3">
        <f>covid_data[[#This Row],[Deaths]]/covid_data[[#This Row],[Confirmed]]*100</f>
        <v>0.43407487791644062</v>
      </c>
      <c r="Q127" s="2">
        <f>covid_data[[#This Row],[Recovered]]/covid_data[[#This Row],[Confirmed]]</f>
        <v>5.4801953336950621E-2</v>
      </c>
      <c r="R127" s="3">
        <f>covid_data[[#This Row],[Active]]/covid_data[[#This Row],[Confirmed]]*100</f>
        <v>94.085729788388491</v>
      </c>
      <c r="S127" s="5" t="str">
        <f>IF(covid_data[[#This Row],[New deaths]]&gt;5,"High Risk","Low Risk")</f>
        <v>Low Risk</v>
      </c>
      <c r="T127" s="6">
        <f>RANK(B127,covid_data[Confirmed],0)</f>
        <v>126</v>
      </c>
      <c r="U127" s="5" t="str">
        <f>_xlfn.IFS(B127&gt;50000,"Critical",B127&gt;10000,"High",B127&gt;5000,"Moderate",B127&gt;=10,"Low")</f>
        <v>Low</v>
      </c>
    </row>
    <row r="128" spans="1:21" x14ac:dyDescent="0.35">
      <c r="A128" s="1" t="s">
        <v>296</v>
      </c>
      <c r="B128">
        <v>1783</v>
      </c>
      <c r="C128">
        <v>66</v>
      </c>
      <c r="D128">
        <v>1317</v>
      </c>
      <c r="E128">
        <v>400</v>
      </c>
      <c r="F128">
        <v>0</v>
      </c>
      <c r="G128">
        <v>0</v>
      </c>
      <c r="H128">
        <v>4</v>
      </c>
      <c r="I128">
        <v>3.7</v>
      </c>
      <c r="J128">
        <v>73.86</v>
      </c>
      <c r="K128" s="1" t="s">
        <v>297</v>
      </c>
      <c r="L128">
        <v>1711</v>
      </c>
      <c r="M128">
        <v>72</v>
      </c>
      <c r="N128">
        <v>4.21</v>
      </c>
      <c r="O128" s="1" t="s">
        <v>23</v>
      </c>
      <c r="P128" s="3">
        <f>covid_data[[#This Row],[Deaths]]/covid_data[[#This Row],[Confirmed]]*100</f>
        <v>3.7016264722378009</v>
      </c>
      <c r="Q128" s="2">
        <f>covid_data[[#This Row],[Recovered]]/covid_data[[#This Row],[Confirmed]]</f>
        <v>0.73864273696017946</v>
      </c>
      <c r="R128" s="3">
        <f>covid_data[[#This Row],[Active]]/covid_data[[#This Row],[Confirmed]]*100</f>
        <v>22.434099831744252</v>
      </c>
      <c r="S128" s="5" t="str">
        <f>IF(covid_data[[#This Row],[New deaths]]&gt;5,"High Risk","Low Risk")</f>
        <v>Low Risk</v>
      </c>
      <c r="T128" s="6">
        <f>RANK(B128,covid_data[Confirmed],0)</f>
        <v>127</v>
      </c>
      <c r="U128" s="5" t="str">
        <f>_xlfn.IFS(B128&gt;50000,"Critical",B128&gt;10000,"High",B128&gt;5000,"Moderate",B128&gt;=10,"Low")</f>
        <v>Low</v>
      </c>
    </row>
    <row r="129" spans="1:21" x14ac:dyDescent="0.35">
      <c r="A129" s="1" t="s">
        <v>57</v>
      </c>
      <c r="B129">
        <v>1770</v>
      </c>
      <c r="C129">
        <v>35</v>
      </c>
      <c r="D129">
        <v>1036</v>
      </c>
      <c r="E129">
        <v>699</v>
      </c>
      <c r="F129">
        <v>0</v>
      </c>
      <c r="G129">
        <v>0</v>
      </c>
      <c r="H129">
        <v>0</v>
      </c>
      <c r="I129">
        <v>1.98</v>
      </c>
      <c r="J129">
        <v>58.53</v>
      </c>
      <c r="K129" s="1" t="s">
        <v>58</v>
      </c>
      <c r="L129">
        <v>1602</v>
      </c>
      <c r="M129">
        <v>168</v>
      </c>
      <c r="N129">
        <v>10.49</v>
      </c>
      <c r="O129" s="1" t="s">
        <v>23</v>
      </c>
      <c r="P129" s="3">
        <f>covid_data[[#This Row],[Deaths]]/covid_data[[#This Row],[Confirmed]]*100</f>
        <v>1.977401129943503</v>
      </c>
      <c r="Q129" s="2">
        <f>covid_data[[#This Row],[Recovered]]/covid_data[[#This Row],[Confirmed]]</f>
        <v>0.58531073446327686</v>
      </c>
      <c r="R129" s="3">
        <f>covid_data[[#This Row],[Active]]/covid_data[[#This Row],[Confirmed]]*100</f>
        <v>39.49152542372881</v>
      </c>
      <c r="S129" s="5" t="str">
        <f>IF(covid_data[[#This Row],[New deaths]]&gt;5,"High Risk","Low Risk")</f>
        <v>Low Risk</v>
      </c>
      <c r="T129" s="6">
        <f>RANK(B129,covid_data[Confirmed],0)</f>
        <v>128</v>
      </c>
      <c r="U129" s="5" t="str">
        <f>_xlfn.IFS(B129&gt;50000,"Critical",B129&gt;10000,"High",B129&gt;5000,"Moderate",B129&gt;=10,"Low")</f>
        <v>Low</v>
      </c>
    </row>
    <row r="130" spans="1:21" x14ac:dyDescent="0.35">
      <c r="A130" s="1" t="s">
        <v>242</v>
      </c>
      <c r="B130">
        <v>1701</v>
      </c>
      <c r="C130">
        <v>11</v>
      </c>
      <c r="D130">
        <v>0</v>
      </c>
      <c r="E130">
        <v>1690</v>
      </c>
      <c r="F130">
        <v>32</v>
      </c>
      <c r="G130">
        <v>0</v>
      </c>
      <c r="H130">
        <v>0</v>
      </c>
      <c r="I130">
        <v>0.65</v>
      </c>
      <c r="J130">
        <v>0</v>
      </c>
      <c r="K130" s="1" t="s">
        <v>85</v>
      </c>
      <c r="L130">
        <v>1507</v>
      </c>
      <c r="M130">
        <v>194</v>
      </c>
      <c r="N130">
        <v>12.87</v>
      </c>
      <c r="O130" s="1" t="s">
        <v>23</v>
      </c>
      <c r="P130" s="3">
        <f>covid_data[[#This Row],[Deaths]]/covid_data[[#This Row],[Confirmed]]*100</f>
        <v>0.64667842445620227</v>
      </c>
      <c r="Q130" s="2">
        <f>covid_data[[#This Row],[Recovered]]/covid_data[[#This Row],[Confirmed]]</f>
        <v>0</v>
      </c>
      <c r="R130" s="3">
        <f>covid_data[[#This Row],[Active]]/covid_data[[#This Row],[Confirmed]]*100</f>
        <v>99.353321575543802</v>
      </c>
      <c r="S130" s="5" t="str">
        <f>IF(covid_data[[#This Row],[New deaths]]&gt;5,"High Risk","Low Risk")</f>
        <v>Low Risk</v>
      </c>
      <c r="T130" s="6">
        <f>RANK(B130,covid_data[Confirmed],0)</f>
        <v>129</v>
      </c>
      <c r="U130" s="5" t="str">
        <f>_xlfn.IFS(B130&gt;50000,"Critical",B130&gt;10000,"High",B130&gt;5000,"Moderate",B130&gt;=10,"Low")</f>
        <v>Low</v>
      </c>
    </row>
    <row r="131" spans="1:21" x14ac:dyDescent="0.35">
      <c r="A131" s="1" t="s">
        <v>357</v>
      </c>
      <c r="B131">
        <v>1691</v>
      </c>
      <c r="C131">
        <v>483</v>
      </c>
      <c r="D131">
        <v>833</v>
      </c>
      <c r="E131">
        <v>375</v>
      </c>
      <c r="F131">
        <v>10</v>
      </c>
      <c r="G131">
        <v>4</v>
      </c>
      <c r="H131">
        <v>36</v>
      </c>
      <c r="I131">
        <v>28.56</v>
      </c>
      <c r="J131">
        <v>49.26</v>
      </c>
      <c r="K131" s="1" t="s">
        <v>358</v>
      </c>
      <c r="L131">
        <v>1619</v>
      </c>
      <c r="M131">
        <v>72</v>
      </c>
      <c r="N131">
        <v>4.45</v>
      </c>
      <c r="O131" s="1" t="s">
        <v>17</v>
      </c>
      <c r="P131" s="3">
        <f>covid_data[[#This Row],[Deaths]]/covid_data[[#This Row],[Confirmed]]*100</f>
        <v>28.562980484920164</v>
      </c>
      <c r="Q131" s="2">
        <f>covid_data[[#This Row],[Recovered]]/covid_data[[#This Row],[Confirmed]]</f>
        <v>0.49260792430514488</v>
      </c>
      <c r="R131" s="3">
        <f>covid_data[[#This Row],[Active]]/covid_data[[#This Row],[Confirmed]]*100</f>
        <v>22.176227084565344</v>
      </c>
      <c r="S131" s="5" t="str">
        <f>IF(covid_data[[#This Row],[New deaths]]&gt;5,"High Risk","Low Risk")</f>
        <v>Low Risk</v>
      </c>
      <c r="T131" s="6">
        <f>RANK(B131,covid_data[Confirmed],0)</f>
        <v>130</v>
      </c>
      <c r="U131" s="5" t="str">
        <f>_xlfn.IFS(B131&gt;50000,"Critical",B131&gt;10000,"High",B131&gt;5000,"Moderate",B131&gt;=10,"Low")</f>
        <v>Low</v>
      </c>
    </row>
    <row r="132" spans="1:21" x14ac:dyDescent="0.35">
      <c r="A132" s="1" t="s">
        <v>249</v>
      </c>
      <c r="B132">
        <v>1557</v>
      </c>
      <c r="C132">
        <v>22</v>
      </c>
      <c r="D132">
        <v>1514</v>
      </c>
      <c r="E132">
        <v>21</v>
      </c>
      <c r="F132">
        <v>1</v>
      </c>
      <c r="G132">
        <v>0</v>
      </c>
      <c r="H132">
        <v>1</v>
      </c>
      <c r="I132">
        <v>1.41</v>
      </c>
      <c r="J132">
        <v>97.24</v>
      </c>
      <c r="K132" s="1" t="s">
        <v>218</v>
      </c>
      <c r="L132">
        <v>1555</v>
      </c>
      <c r="M132">
        <v>2</v>
      </c>
      <c r="N132">
        <v>0.13</v>
      </c>
      <c r="O132" s="1" t="s">
        <v>37</v>
      </c>
      <c r="P132" s="3">
        <f>covid_data[[#This Row],[Deaths]]/covid_data[[#This Row],[Confirmed]]*100</f>
        <v>1.4129736673089275</v>
      </c>
      <c r="Q132" s="2">
        <f>covid_data[[#This Row],[Recovered]]/covid_data[[#This Row],[Confirmed]]</f>
        <v>0.97238278741168915</v>
      </c>
      <c r="R132" s="3">
        <f>covid_data[[#This Row],[Active]]/covid_data[[#This Row],[Confirmed]]*100</f>
        <v>1.3487475915221581</v>
      </c>
      <c r="S132" s="5" t="str">
        <f>IF(covid_data[[#This Row],[New deaths]]&gt;5,"High Risk","Low Risk")</f>
        <v>Low Risk</v>
      </c>
      <c r="T132" s="6">
        <f>RANK(B132,covid_data[Confirmed],0)</f>
        <v>131</v>
      </c>
      <c r="U132" s="5" t="str">
        <f>_xlfn.IFS(B132&gt;50000,"Critical",B132&gt;10000,"High",B132&gt;5000,"Moderate",B132&gt;=10,"Low")</f>
        <v>Low</v>
      </c>
    </row>
    <row r="133" spans="1:21" x14ac:dyDescent="0.35">
      <c r="A133" s="1" t="s">
        <v>315</v>
      </c>
      <c r="B133">
        <v>1483</v>
      </c>
      <c r="C133">
        <v>24</v>
      </c>
      <c r="D133">
        <v>925</v>
      </c>
      <c r="E133">
        <v>534</v>
      </c>
      <c r="F133">
        <v>44</v>
      </c>
      <c r="G133">
        <v>1</v>
      </c>
      <c r="H133">
        <v>35</v>
      </c>
      <c r="I133">
        <v>1.62</v>
      </c>
      <c r="J133">
        <v>62.37</v>
      </c>
      <c r="K133" s="1" t="s">
        <v>316</v>
      </c>
      <c r="L133">
        <v>1079</v>
      </c>
      <c r="M133">
        <v>404</v>
      </c>
      <c r="N133">
        <v>37.44</v>
      </c>
      <c r="O133" s="1" t="s">
        <v>30</v>
      </c>
      <c r="P133" s="3">
        <f>covid_data[[#This Row],[Deaths]]/covid_data[[#This Row],[Confirmed]]*100</f>
        <v>1.6183412002697235</v>
      </c>
      <c r="Q133" s="2">
        <f>covid_data[[#This Row],[Recovered]]/covid_data[[#This Row],[Confirmed]]</f>
        <v>0.62373567093728932</v>
      </c>
      <c r="R133" s="3">
        <f>covid_data[[#This Row],[Active]]/covid_data[[#This Row],[Confirmed]]*100</f>
        <v>36.008091706001352</v>
      </c>
      <c r="S133" s="5" t="str">
        <f>IF(covid_data[[#This Row],[New deaths]]&gt;5,"High Risk","Low Risk")</f>
        <v>Low Risk</v>
      </c>
      <c r="T133" s="6">
        <f>RANK(B133,covid_data[Confirmed],0)</f>
        <v>132</v>
      </c>
      <c r="U133" s="5" t="str">
        <f>_xlfn.IFS(B133&gt;50000,"Critical",B133&gt;10000,"High",B133&gt;5000,"Moderate",B133&gt;=10,"Low")</f>
        <v>Low</v>
      </c>
    </row>
    <row r="134" spans="1:21" x14ac:dyDescent="0.35">
      <c r="A134" s="1" t="s">
        <v>333</v>
      </c>
      <c r="B134">
        <v>1455</v>
      </c>
      <c r="C134">
        <v>50</v>
      </c>
      <c r="D134">
        <v>1157</v>
      </c>
      <c r="E134">
        <v>248</v>
      </c>
      <c r="F134">
        <v>3</v>
      </c>
      <c r="G134">
        <v>0</v>
      </c>
      <c r="H134">
        <v>15</v>
      </c>
      <c r="I134">
        <v>3.44</v>
      </c>
      <c r="J134">
        <v>79.52</v>
      </c>
      <c r="K134" s="1" t="s">
        <v>334</v>
      </c>
      <c r="L134">
        <v>1381</v>
      </c>
      <c r="M134">
        <v>74</v>
      </c>
      <c r="N134">
        <v>5.36</v>
      </c>
      <c r="O134" s="1" t="s">
        <v>17</v>
      </c>
      <c r="P134" s="3">
        <f>covid_data[[#This Row],[Deaths]]/covid_data[[#This Row],[Confirmed]]*100</f>
        <v>3.4364261168384882</v>
      </c>
      <c r="Q134" s="2">
        <f>covid_data[[#This Row],[Recovered]]/covid_data[[#This Row],[Confirmed]]</f>
        <v>0.79518900343642607</v>
      </c>
      <c r="R134" s="3">
        <f>covid_data[[#This Row],[Active]]/covid_data[[#This Row],[Confirmed]]*100</f>
        <v>17.0446735395189</v>
      </c>
      <c r="S134" s="5" t="str">
        <f>IF(covid_data[[#This Row],[New deaths]]&gt;5,"High Risk","Low Risk")</f>
        <v>Low Risk</v>
      </c>
      <c r="T134" s="6">
        <f>RANK(B134,covid_data[Confirmed],0)</f>
        <v>133</v>
      </c>
      <c r="U134" s="5" t="str">
        <f>_xlfn.IFS(B134&gt;50000,"Critical",B134&gt;10000,"High",B134&gt;5000,"Moderate",B134&gt;=10,"Low")</f>
        <v>Low</v>
      </c>
    </row>
    <row r="135" spans="1:21" x14ac:dyDescent="0.35">
      <c r="A135" s="1" t="s">
        <v>201</v>
      </c>
      <c r="B135">
        <v>1219</v>
      </c>
      <c r="C135">
        <v>31</v>
      </c>
      <c r="D135">
        <v>1045</v>
      </c>
      <c r="E135">
        <v>143</v>
      </c>
      <c r="F135">
        <v>0</v>
      </c>
      <c r="G135">
        <v>0</v>
      </c>
      <c r="H135">
        <v>0</v>
      </c>
      <c r="I135">
        <v>2.54</v>
      </c>
      <c r="J135">
        <v>85.73</v>
      </c>
      <c r="K135" s="1" t="s">
        <v>202</v>
      </c>
      <c r="L135">
        <v>1192</v>
      </c>
      <c r="M135">
        <v>27</v>
      </c>
      <c r="N135">
        <v>2.27</v>
      </c>
      <c r="O135" s="1" t="s">
        <v>20</v>
      </c>
      <c r="P135" s="3">
        <f>covid_data[[#This Row],[Deaths]]/covid_data[[#This Row],[Confirmed]]*100</f>
        <v>2.5430680885972108</v>
      </c>
      <c r="Q135" s="2">
        <f>covid_data[[#This Row],[Recovered]]/covid_data[[#This Row],[Confirmed]]</f>
        <v>0.85726004922067267</v>
      </c>
      <c r="R135" s="3">
        <f>covid_data[[#This Row],[Active]]/covid_data[[#This Row],[Confirmed]]*100</f>
        <v>11.73092698933552</v>
      </c>
      <c r="S135" s="5" t="str">
        <f>IF(covid_data[[#This Row],[New deaths]]&gt;5,"High Risk","Low Risk")</f>
        <v>Low Risk</v>
      </c>
      <c r="T135" s="6">
        <f>RANK(B135,covid_data[Confirmed],0)</f>
        <v>134</v>
      </c>
      <c r="U135" s="5" t="str">
        <f>_xlfn.IFS(B135&gt;50000,"Critical",B135&gt;10000,"High",B135&gt;5000,"Moderate",B135&gt;=10,"Low")</f>
        <v>Low</v>
      </c>
    </row>
    <row r="136" spans="1:21" x14ac:dyDescent="0.35">
      <c r="A136" s="1" t="s">
        <v>346</v>
      </c>
      <c r="B136">
        <v>1202</v>
      </c>
      <c r="C136">
        <v>35</v>
      </c>
      <c r="D136">
        <v>951</v>
      </c>
      <c r="E136">
        <v>216</v>
      </c>
      <c r="F136">
        <v>10</v>
      </c>
      <c r="G136">
        <v>1</v>
      </c>
      <c r="H136">
        <v>3</v>
      </c>
      <c r="I136">
        <v>2.91</v>
      </c>
      <c r="J136">
        <v>79.12</v>
      </c>
      <c r="K136" s="1" t="s">
        <v>347</v>
      </c>
      <c r="L136">
        <v>1064</v>
      </c>
      <c r="M136">
        <v>138</v>
      </c>
      <c r="N136">
        <v>12.97</v>
      </c>
      <c r="O136" s="1" t="s">
        <v>30</v>
      </c>
      <c r="P136" s="3">
        <f>covid_data[[#This Row],[Deaths]]/covid_data[[#This Row],[Confirmed]]*100</f>
        <v>2.9118136439267883</v>
      </c>
      <c r="Q136" s="2">
        <f>covid_data[[#This Row],[Recovered]]/covid_data[[#This Row],[Confirmed]]</f>
        <v>0.79118136439267883</v>
      </c>
      <c r="R136" s="3">
        <f>covid_data[[#This Row],[Active]]/covid_data[[#This Row],[Confirmed]]*100</f>
        <v>17.970049916805326</v>
      </c>
      <c r="S136" s="5" t="str">
        <f>IF(covid_data[[#This Row],[New deaths]]&gt;5,"High Risk","Low Risk")</f>
        <v>Low Risk</v>
      </c>
      <c r="T136" s="6">
        <f>RANK(B136,covid_data[Confirmed],0)</f>
        <v>135</v>
      </c>
      <c r="U136" s="5" t="str">
        <f>_xlfn.IFS(B136&gt;50000,"Critical",B136&gt;10000,"High",B136&gt;5000,"Moderate",B136&gt;=10,"Low")</f>
        <v>Low</v>
      </c>
    </row>
    <row r="137" spans="1:21" x14ac:dyDescent="0.35">
      <c r="A137" s="1" t="s">
        <v>188</v>
      </c>
      <c r="B137">
        <v>1176</v>
      </c>
      <c r="C137">
        <v>11</v>
      </c>
      <c r="D137">
        <v>1041</v>
      </c>
      <c r="E137">
        <v>124</v>
      </c>
      <c r="F137">
        <v>8</v>
      </c>
      <c r="G137">
        <v>0</v>
      </c>
      <c r="H137">
        <v>0</v>
      </c>
      <c r="I137">
        <v>0.94</v>
      </c>
      <c r="J137">
        <v>88.52</v>
      </c>
      <c r="K137" s="1" t="s">
        <v>189</v>
      </c>
      <c r="L137">
        <v>1223</v>
      </c>
      <c r="M137">
        <v>-47</v>
      </c>
      <c r="N137">
        <v>-3.84</v>
      </c>
      <c r="O137" s="1" t="s">
        <v>17</v>
      </c>
      <c r="P137" s="3">
        <f>covid_data[[#This Row],[Deaths]]/covid_data[[#This Row],[Confirmed]]*100</f>
        <v>0.93537414965986398</v>
      </c>
      <c r="Q137" s="2">
        <f>covid_data[[#This Row],[Recovered]]/covid_data[[#This Row],[Confirmed]]</f>
        <v>0.88520408163265307</v>
      </c>
      <c r="R137" s="3">
        <f>covid_data[[#This Row],[Active]]/covid_data[[#This Row],[Confirmed]]*100</f>
        <v>10.544217687074831</v>
      </c>
      <c r="S137" s="5" t="str">
        <f>IF(covid_data[[#This Row],[New deaths]]&gt;5,"High Risk","Low Risk")</f>
        <v>Low Risk</v>
      </c>
      <c r="T137" s="6">
        <f>RANK(B137,covid_data[Confirmed],0)</f>
        <v>136</v>
      </c>
      <c r="U137" s="5" t="str">
        <f>_xlfn.IFS(B137&gt;50000,"Critical",B137&gt;10000,"High",B137&gt;5000,"Moderate",B137&gt;=10,"Low")</f>
        <v>Low</v>
      </c>
    </row>
    <row r="138" spans="1:21" x14ac:dyDescent="0.35">
      <c r="A138" s="1" t="s">
        <v>207</v>
      </c>
      <c r="B138">
        <v>1167</v>
      </c>
      <c r="C138">
        <v>72</v>
      </c>
      <c r="D138">
        <v>646</v>
      </c>
      <c r="E138">
        <v>449</v>
      </c>
      <c r="F138">
        <v>5</v>
      </c>
      <c r="G138">
        <v>0</v>
      </c>
      <c r="H138">
        <v>5</v>
      </c>
      <c r="I138">
        <v>6.17</v>
      </c>
      <c r="J138">
        <v>55.36</v>
      </c>
      <c r="K138" s="1" t="s">
        <v>208</v>
      </c>
      <c r="L138">
        <v>1107</v>
      </c>
      <c r="M138">
        <v>60</v>
      </c>
      <c r="N138">
        <v>5.42</v>
      </c>
      <c r="O138" s="1" t="s">
        <v>23</v>
      </c>
      <c r="P138" s="3">
        <f>covid_data[[#This Row],[Deaths]]/covid_data[[#This Row],[Confirmed]]*100</f>
        <v>6.1696658097686372</v>
      </c>
      <c r="Q138" s="2">
        <f>covid_data[[#This Row],[Recovered]]/covid_data[[#This Row],[Confirmed]]</f>
        <v>0.55355612682090827</v>
      </c>
      <c r="R138" s="3">
        <f>covid_data[[#This Row],[Active]]/covid_data[[#This Row],[Confirmed]]*100</f>
        <v>38.474721508140533</v>
      </c>
      <c r="S138" s="5" t="str">
        <f>IF(covid_data[[#This Row],[New deaths]]&gt;5,"High Risk","Low Risk")</f>
        <v>Low Risk</v>
      </c>
      <c r="T138" s="6">
        <f>RANK(B138,covid_data[Confirmed],0)</f>
        <v>137</v>
      </c>
      <c r="U138" s="5" t="str">
        <f>_xlfn.IFS(B138&gt;50000,"Critical",B138&gt;10000,"High",B138&gt;5000,"Moderate",B138&gt;=10,"Low")</f>
        <v>Low</v>
      </c>
    </row>
    <row r="139" spans="1:21" x14ac:dyDescent="0.35">
      <c r="A139" s="1" t="s">
        <v>143</v>
      </c>
      <c r="B139">
        <v>1137</v>
      </c>
      <c r="C139">
        <v>16</v>
      </c>
      <c r="D139">
        <v>922</v>
      </c>
      <c r="E139">
        <v>199</v>
      </c>
      <c r="F139">
        <v>6</v>
      </c>
      <c r="G139">
        <v>0</v>
      </c>
      <c r="H139">
        <v>2</v>
      </c>
      <c r="I139">
        <v>1.41</v>
      </c>
      <c r="J139">
        <v>81.09</v>
      </c>
      <c r="K139" s="1" t="s">
        <v>144</v>
      </c>
      <c r="L139">
        <v>1039</v>
      </c>
      <c r="M139">
        <v>98</v>
      </c>
      <c r="N139">
        <v>9.43</v>
      </c>
      <c r="O139" s="1" t="s">
        <v>20</v>
      </c>
      <c r="P139" s="3">
        <f>covid_data[[#This Row],[Deaths]]/covid_data[[#This Row],[Confirmed]]*100</f>
        <v>1.4072119613016711</v>
      </c>
      <c r="Q139" s="2">
        <f>covid_data[[#This Row],[Recovered]]/covid_data[[#This Row],[Confirmed]]</f>
        <v>0.81090589270008795</v>
      </c>
      <c r="R139" s="3">
        <f>covid_data[[#This Row],[Active]]/covid_data[[#This Row],[Confirmed]]*100</f>
        <v>17.502198768689535</v>
      </c>
      <c r="S139" s="5" t="str">
        <f>IF(covid_data[[#This Row],[New deaths]]&gt;5,"High Risk","Low Risk")</f>
        <v>Low Risk</v>
      </c>
      <c r="T139" s="6">
        <f>RANK(B139,covid_data[Confirmed],0)</f>
        <v>138</v>
      </c>
      <c r="U139" s="5" t="str">
        <f>_xlfn.IFS(B139&gt;50000,"Critical",B139&gt;10000,"High",B139&gt;5000,"Moderate",B139&gt;=10,"Low")</f>
        <v>Low</v>
      </c>
    </row>
    <row r="140" spans="1:21" x14ac:dyDescent="0.35">
      <c r="A140" s="1" t="s">
        <v>252</v>
      </c>
      <c r="B140">
        <v>1132</v>
      </c>
      <c r="C140">
        <v>69</v>
      </c>
      <c r="D140">
        <v>1027</v>
      </c>
      <c r="E140">
        <v>36</v>
      </c>
      <c r="F140">
        <v>0</v>
      </c>
      <c r="G140">
        <v>0</v>
      </c>
      <c r="H140">
        <v>0</v>
      </c>
      <c r="I140">
        <v>6.1</v>
      </c>
      <c r="J140">
        <v>90.72</v>
      </c>
      <c r="K140" s="1" t="s">
        <v>253</v>
      </c>
      <c r="L140">
        <v>1105</v>
      </c>
      <c r="M140">
        <v>27</v>
      </c>
      <c r="N140">
        <v>2.44</v>
      </c>
      <c r="O140" s="1" t="s">
        <v>23</v>
      </c>
      <c r="P140" s="3">
        <f>covid_data[[#This Row],[Deaths]]/covid_data[[#This Row],[Confirmed]]*100</f>
        <v>6.0954063604240289</v>
      </c>
      <c r="Q140" s="2">
        <f>covid_data[[#This Row],[Recovered]]/covid_data[[#This Row],[Confirmed]]</f>
        <v>0.90724381625441697</v>
      </c>
      <c r="R140" s="3">
        <f>covid_data[[#This Row],[Active]]/covid_data[[#This Row],[Confirmed]]*100</f>
        <v>3.1802120141342751</v>
      </c>
      <c r="S140" s="5" t="str">
        <f>IF(covid_data[[#This Row],[New deaths]]&gt;5,"High Risk","Low Risk")</f>
        <v>Low Risk</v>
      </c>
      <c r="T140" s="6">
        <f>RANK(B140,covid_data[Confirmed],0)</f>
        <v>139</v>
      </c>
      <c r="U140" s="5" t="str">
        <f>_xlfn.IFS(B140&gt;50000,"Critical",B140&gt;10000,"High",B140&gt;5000,"Moderate",B140&gt;=10,"Low")</f>
        <v>Low</v>
      </c>
    </row>
    <row r="141" spans="1:21" x14ac:dyDescent="0.35">
      <c r="A141" s="1" t="s">
        <v>338</v>
      </c>
      <c r="B141">
        <v>1128</v>
      </c>
      <c r="C141">
        <v>2</v>
      </c>
      <c r="D141">
        <v>986</v>
      </c>
      <c r="E141">
        <v>140</v>
      </c>
      <c r="F141">
        <v>13</v>
      </c>
      <c r="G141">
        <v>0</v>
      </c>
      <c r="H141">
        <v>4</v>
      </c>
      <c r="I141">
        <v>0.18</v>
      </c>
      <c r="J141">
        <v>87.41</v>
      </c>
      <c r="K141" s="1" t="s">
        <v>339</v>
      </c>
      <c r="L141">
        <v>1069</v>
      </c>
      <c r="M141">
        <v>59</v>
      </c>
      <c r="N141">
        <v>5.52</v>
      </c>
      <c r="O141" s="1" t="s">
        <v>23</v>
      </c>
      <c r="P141" s="3">
        <f>covid_data[[#This Row],[Deaths]]/covid_data[[#This Row],[Confirmed]]*100</f>
        <v>0.1773049645390071</v>
      </c>
      <c r="Q141" s="2">
        <f>covid_data[[#This Row],[Recovered]]/covid_data[[#This Row],[Confirmed]]</f>
        <v>0.87411347517730498</v>
      </c>
      <c r="R141" s="3">
        <f>covid_data[[#This Row],[Active]]/covid_data[[#This Row],[Confirmed]]*100</f>
        <v>12.411347517730496</v>
      </c>
      <c r="S141" s="5" t="str">
        <f>IF(covid_data[[#This Row],[New deaths]]&gt;5,"High Risk","Low Risk")</f>
        <v>Low Risk</v>
      </c>
      <c r="T141" s="6">
        <f>RANK(B141,covid_data[Confirmed],0)</f>
        <v>140</v>
      </c>
      <c r="U141" s="5" t="str">
        <f>_xlfn.IFS(B141&gt;50000,"Critical",B141&gt;10000,"High",B141&gt;5000,"Moderate",B141&gt;=10,"Low")</f>
        <v>Low</v>
      </c>
    </row>
    <row r="142" spans="1:21" x14ac:dyDescent="0.35">
      <c r="A142" s="1" t="s">
        <v>73</v>
      </c>
      <c r="B142">
        <v>1100</v>
      </c>
      <c r="C142">
        <v>53</v>
      </c>
      <c r="D142">
        <v>926</v>
      </c>
      <c r="E142">
        <v>121</v>
      </c>
      <c r="F142">
        <v>14</v>
      </c>
      <c r="G142">
        <v>0</v>
      </c>
      <c r="H142">
        <v>6</v>
      </c>
      <c r="I142">
        <v>4.82</v>
      </c>
      <c r="J142">
        <v>84.18</v>
      </c>
      <c r="K142" s="1" t="s">
        <v>74</v>
      </c>
      <c r="L142">
        <v>1065</v>
      </c>
      <c r="M142">
        <v>35</v>
      </c>
      <c r="N142">
        <v>3.29</v>
      </c>
      <c r="O142" s="1" t="s">
        <v>23</v>
      </c>
      <c r="P142" s="3">
        <f>covid_data[[#This Row],[Deaths]]/covid_data[[#This Row],[Confirmed]]*100</f>
        <v>4.8181818181818183</v>
      </c>
      <c r="Q142" s="2">
        <f>covid_data[[#This Row],[Recovered]]/covid_data[[#This Row],[Confirmed]]</f>
        <v>0.8418181818181818</v>
      </c>
      <c r="R142" s="3">
        <f>covid_data[[#This Row],[Active]]/covid_data[[#This Row],[Confirmed]]*100</f>
        <v>11</v>
      </c>
      <c r="S142" s="5" t="str">
        <f>IF(covid_data[[#This Row],[New deaths]]&gt;5,"High Risk","Low Risk")</f>
        <v>Low Risk</v>
      </c>
      <c r="T142" s="6">
        <f>RANK(B142,covid_data[Confirmed],0)</f>
        <v>141</v>
      </c>
      <c r="U142" s="5" t="str">
        <f>_xlfn.IFS(B142&gt;50000,"Critical",B142&gt;10000,"High",B142&gt;5000,"Moderate",B142&gt;=10,"Low")</f>
        <v>Low</v>
      </c>
    </row>
    <row r="143" spans="1:21" x14ac:dyDescent="0.35">
      <c r="A143" s="1" t="s">
        <v>110</v>
      </c>
      <c r="B143">
        <v>1060</v>
      </c>
      <c r="C143">
        <v>19</v>
      </c>
      <c r="D143">
        <v>852</v>
      </c>
      <c r="E143">
        <v>189</v>
      </c>
      <c r="F143">
        <v>3</v>
      </c>
      <c r="G143">
        <v>0</v>
      </c>
      <c r="H143">
        <v>0</v>
      </c>
      <c r="I143">
        <v>1.79</v>
      </c>
      <c r="J143">
        <v>80.38</v>
      </c>
      <c r="K143" s="1" t="s">
        <v>111</v>
      </c>
      <c r="L143">
        <v>1038</v>
      </c>
      <c r="M143">
        <v>22</v>
      </c>
      <c r="N143">
        <v>2.12</v>
      </c>
      <c r="O143" s="1" t="s">
        <v>20</v>
      </c>
      <c r="P143" s="3">
        <f>covid_data[[#This Row],[Deaths]]/covid_data[[#This Row],[Confirmed]]*100</f>
        <v>1.7924528301886793</v>
      </c>
      <c r="Q143" s="2">
        <f>covid_data[[#This Row],[Recovered]]/covid_data[[#This Row],[Confirmed]]</f>
        <v>0.80377358490566042</v>
      </c>
      <c r="R143" s="3">
        <f>covid_data[[#This Row],[Active]]/covid_data[[#This Row],[Confirmed]]*100</f>
        <v>17.830188679245282</v>
      </c>
      <c r="S143" s="5" t="str">
        <f>IF(covid_data[[#This Row],[New deaths]]&gt;5,"High Risk","Low Risk")</f>
        <v>Low Risk</v>
      </c>
      <c r="T143" s="6">
        <f>RANK(B143,covid_data[Confirmed],0)</f>
        <v>142</v>
      </c>
      <c r="U143" s="5" t="str">
        <f>_xlfn.IFS(B143&gt;50000,"Critical",B143&gt;10000,"High",B143&gt;5000,"Moderate",B143&gt;=10,"Low")</f>
        <v>Low</v>
      </c>
    </row>
    <row r="144" spans="1:21" x14ac:dyDescent="0.35">
      <c r="A144" s="1" t="s">
        <v>26</v>
      </c>
      <c r="B144">
        <v>950</v>
      </c>
      <c r="C144">
        <v>41</v>
      </c>
      <c r="D144">
        <v>242</v>
      </c>
      <c r="E144">
        <v>667</v>
      </c>
      <c r="F144">
        <v>18</v>
      </c>
      <c r="G144">
        <v>1</v>
      </c>
      <c r="H144">
        <v>0</v>
      </c>
      <c r="I144">
        <v>4.32</v>
      </c>
      <c r="J144">
        <v>25.47</v>
      </c>
      <c r="K144" s="1" t="s">
        <v>27</v>
      </c>
      <c r="L144">
        <v>749</v>
      </c>
      <c r="M144">
        <v>201</v>
      </c>
      <c r="N144">
        <v>26.84</v>
      </c>
      <c r="O144" s="1" t="s">
        <v>23</v>
      </c>
      <c r="P144" s="3">
        <f>covid_data[[#This Row],[Deaths]]/covid_data[[#This Row],[Confirmed]]*100</f>
        <v>4.3157894736842106</v>
      </c>
      <c r="Q144" s="2">
        <f>covid_data[[#This Row],[Recovered]]/covid_data[[#This Row],[Confirmed]]</f>
        <v>0.25473684210526315</v>
      </c>
      <c r="R144" s="3">
        <f>covid_data[[#This Row],[Active]]/covid_data[[#This Row],[Confirmed]]*100</f>
        <v>70.21052631578948</v>
      </c>
      <c r="S144" s="5" t="str">
        <f>IF(covid_data[[#This Row],[New deaths]]&gt;5,"High Risk","Low Risk")</f>
        <v>Low Risk</v>
      </c>
      <c r="T144" s="6">
        <f>RANK(B144,covid_data[Confirmed],0)</f>
        <v>143</v>
      </c>
      <c r="U144" s="5" t="str">
        <f>_xlfn.IFS(B144&gt;50000,"Critical",B144&gt;10000,"High",B144&gt;5000,"Moderate",B144&gt;=10,"Low")</f>
        <v>Low</v>
      </c>
    </row>
    <row r="145" spans="1:21" x14ac:dyDescent="0.35">
      <c r="A145" s="1" t="s">
        <v>88</v>
      </c>
      <c r="B145">
        <v>922</v>
      </c>
      <c r="C145">
        <v>75</v>
      </c>
      <c r="D145">
        <v>810</v>
      </c>
      <c r="E145">
        <v>37</v>
      </c>
      <c r="F145">
        <v>7</v>
      </c>
      <c r="G145">
        <v>0</v>
      </c>
      <c r="H145">
        <v>0</v>
      </c>
      <c r="I145">
        <v>8.1300000000000008</v>
      </c>
      <c r="J145">
        <v>87.85</v>
      </c>
      <c r="K145" s="1" t="s">
        <v>89</v>
      </c>
      <c r="L145">
        <v>889</v>
      </c>
      <c r="M145">
        <v>33</v>
      </c>
      <c r="N145">
        <v>3.71</v>
      </c>
      <c r="O145" s="1" t="s">
        <v>23</v>
      </c>
      <c r="P145" s="3">
        <f>covid_data[[#This Row],[Deaths]]/covid_data[[#This Row],[Confirmed]]*100</f>
        <v>8.1344902386117131</v>
      </c>
      <c r="Q145" s="2">
        <f>covid_data[[#This Row],[Recovered]]/covid_data[[#This Row],[Confirmed]]</f>
        <v>0.87852494577006512</v>
      </c>
      <c r="R145" s="3">
        <f>covid_data[[#This Row],[Active]]/covid_data[[#This Row],[Confirmed]]*100</f>
        <v>4.0130151843817785</v>
      </c>
      <c r="S145" s="5" t="str">
        <f>IF(covid_data[[#This Row],[New deaths]]&gt;5,"High Risk","Low Risk")</f>
        <v>Low Risk</v>
      </c>
      <c r="T145" s="6">
        <f>RANK(B145,covid_data[Confirmed],0)</f>
        <v>144</v>
      </c>
      <c r="U145" s="5" t="str">
        <f>_xlfn.IFS(B145&gt;50000,"Critical",B145&gt;10000,"High",B145&gt;5000,"Moderate",B145&gt;=10,"Low")</f>
        <v>Low</v>
      </c>
    </row>
    <row r="146" spans="1:21" x14ac:dyDescent="0.35">
      <c r="A146" s="1" t="s">
        <v>24</v>
      </c>
      <c r="B146">
        <v>907</v>
      </c>
      <c r="C146">
        <v>52</v>
      </c>
      <c r="D146">
        <v>803</v>
      </c>
      <c r="E146">
        <v>52</v>
      </c>
      <c r="F146">
        <v>10</v>
      </c>
      <c r="G146">
        <v>0</v>
      </c>
      <c r="H146">
        <v>0</v>
      </c>
      <c r="I146">
        <v>5.73</v>
      </c>
      <c r="J146">
        <v>88.53</v>
      </c>
      <c r="K146" s="1" t="s">
        <v>25</v>
      </c>
      <c r="L146">
        <v>884</v>
      </c>
      <c r="M146">
        <v>23</v>
      </c>
      <c r="N146">
        <v>2.6</v>
      </c>
      <c r="O146" s="1" t="s">
        <v>20</v>
      </c>
      <c r="P146" s="3">
        <f>covid_data[[#This Row],[Deaths]]/covid_data[[#This Row],[Confirmed]]*100</f>
        <v>5.7331863285556786</v>
      </c>
      <c r="Q146" s="2">
        <f>covid_data[[#This Row],[Recovered]]/covid_data[[#This Row],[Confirmed]]</f>
        <v>0.88533627342888643</v>
      </c>
      <c r="R146" s="3">
        <f>covid_data[[#This Row],[Active]]/covid_data[[#This Row],[Confirmed]]*100</f>
        <v>5.7331863285556786</v>
      </c>
      <c r="S146" s="5" t="str">
        <f>IF(covid_data[[#This Row],[New deaths]]&gt;5,"High Risk","Low Risk")</f>
        <v>Low Risk</v>
      </c>
      <c r="T146" s="6">
        <f>RANK(B146,covid_data[Confirmed],0)</f>
        <v>145</v>
      </c>
      <c r="U146" s="5" t="str">
        <f>_xlfn.IFS(B146&gt;50000,"Critical",B146&gt;10000,"High",B146&gt;5000,"Moderate",B146&gt;=10,"Low")</f>
        <v>Low</v>
      </c>
    </row>
    <row r="147" spans="1:21" x14ac:dyDescent="0.35">
      <c r="A147" s="1" t="s">
        <v>330</v>
      </c>
      <c r="B147">
        <v>874</v>
      </c>
      <c r="C147">
        <v>18</v>
      </c>
      <c r="D147">
        <v>607</v>
      </c>
      <c r="E147">
        <v>249</v>
      </c>
      <c r="F147">
        <v>6</v>
      </c>
      <c r="G147">
        <v>0</v>
      </c>
      <c r="H147">
        <v>8</v>
      </c>
      <c r="I147">
        <v>2.06</v>
      </c>
      <c r="J147">
        <v>69.45</v>
      </c>
      <c r="K147" s="1" t="s">
        <v>202</v>
      </c>
      <c r="L147">
        <v>783</v>
      </c>
      <c r="M147">
        <v>91</v>
      </c>
      <c r="N147">
        <v>11.62</v>
      </c>
      <c r="O147" s="1" t="s">
        <v>23</v>
      </c>
      <c r="P147" s="3">
        <f>covid_data[[#This Row],[Deaths]]/covid_data[[#This Row],[Confirmed]]*100</f>
        <v>2.0594965675057209</v>
      </c>
      <c r="Q147" s="2">
        <f>covid_data[[#This Row],[Recovered]]/covid_data[[#This Row],[Confirmed]]</f>
        <v>0.69450800915331812</v>
      </c>
      <c r="R147" s="3">
        <f>covid_data[[#This Row],[Active]]/covid_data[[#This Row],[Confirmed]]*100</f>
        <v>28.489702517162474</v>
      </c>
      <c r="S147" s="5" t="str">
        <f>IF(covid_data[[#This Row],[New deaths]]&gt;5,"High Risk","Low Risk")</f>
        <v>Low Risk</v>
      </c>
      <c r="T147" s="6">
        <f>RANK(B147,covid_data[Confirmed],0)</f>
        <v>146</v>
      </c>
      <c r="U147" s="5" t="str">
        <f>_xlfn.IFS(B147&gt;50000,"Critical",B147&gt;10000,"High",B147&gt;5000,"Moderate",B147&gt;=10,"Low")</f>
        <v>Low</v>
      </c>
    </row>
    <row r="148" spans="1:21" x14ac:dyDescent="0.35">
      <c r="A148" s="1" t="s">
        <v>289</v>
      </c>
      <c r="B148">
        <v>865</v>
      </c>
      <c r="C148">
        <v>14</v>
      </c>
      <c r="D148">
        <v>734</v>
      </c>
      <c r="E148">
        <v>117</v>
      </c>
      <c r="F148">
        <v>2</v>
      </c>
      <c r="G148">
        <v>0</v>
      </c>
      <c r="H148">
        <v>38</v>
      </c>
      <c r="I148">
        <v>1.62</v>
      </c>
      <c r="J148">
        <v>84.86</v>
      </c>
      <c r="K148" s="1" t="s">
        <v>241</v>
      </c>
      <c r="L148">
        <v>746</v>
      </c>
      <c r="M148">
        <v>119</v>
      </c>
      <c r="N148">
        <v>15.95</v>
      </c>
      <c r="O148" s="1" t="s">
        <v>23</v>
      </c>
      <c r="P148" s="3">
        <f>covid_data[[#This Row],[Deaths]]/covid_data[[#This Row],[Confirmed]]*100</f>
        <v>1.6184971098265895</v>
      </c>
      <c r="Q148" s="2">
        <f>covid_data[[#This Row],[Recovered]]/covid_data[[#This Row],[Confirmed]]</f>
        <v>0.84855491329479771</v>
      </c>
      <c r="R148" s="3">
        <f>covid_data[[#This Row],[Active]]/covid_data[[#This Row],[Confirmed]]*100</f>
        <v>13.52601156069364</v>
      </c>
      <c r="S148" s="5" t="str">
        <f>IF(covid_data[[#This Row],[New deaths]]&gt;5,"High Risk","Low Risk")</f>
        <v>Low Risk</v>
      </c>
      <c r="T148" s="6">
        <f>RANK(B148,covid_data[Confirmed],0)</f>
        <v>147</v>
      </c>
      <c r="U148" s="5" t="str">
        <f>_xlfn.IFS(B148&gt;50000,"Critical",B148&gt;10000,"High",B148&gt;5000,"Moderate",B148&gt;=10,"Low")</f>
        <v>Low</v>
      </c>
    </row>
    <row r="149" spans="1:21" x14ac:dyDescent="0.35">
      <c r="A149" s="1" t="s">
        <v>184</v>
      </c>
      <c r="B149">
        <v>853</v>
      </c>
      <c r="C149">
        <v>10</v>
      </c>
      <c r="D149">
        <v>714</v>
      </c>
      <c r="E149">
        <v>129</v>
      </c>
      <c r="F149">
        <v>11</v>
      </c>
      <c r="G149">
        <v>0</v>
      </c>
      <c r="H149">
        <v>0</v>
      </c>
      <c r="I149">
        <v>1.17</v>
      </c>
      <c r="J149">
        <v>83.7</v>
      </c>
      <c r="K149" s="1" t="s">
        <v>185</v>
      </c>
      <c r="L149">
        <v>809</v>
      </c>
      <c r="M149">
        <v>44</v>
      </c>
      <c r="N149">
        <v>5.44</v>
      </c>
      <c r="O149" s="1" t="s">
        <v>30</v>
      </c>
      <c r="P149" s="3">
        <f>covid_data[[#This Row],[Deaths]]/covid_data[[#This Row],[Confirmed]]*100</f>
        <v>1.1723329425556859</v>
      </c>
      <c r="Q149" s="2">
        <f>covid_data[[#This Row],[Recovered]]/covid_data[[#This Row],[Confirmed]]</f>
        <v>0.83704572098475971</v>
      </c>
      <c r="R149" s="3">
        <f>covid_data[[#This Row],[Active]]/covid_data[[#This Row],[Confirmed]]*100</f>
        <v>15.123094958968347</v>
      </c>
      <c r="S149" s="5" t="str">
        <f>IF(covid_data[[#This Row],[New deaths]]&gt;5,"High Risk","Low Risk")</f>
        <v>Low Risk</v>
      </c>
      <c r="T149" s="6">
        <f>RANK(B149,covid_data[Confirmed],0)</f>
        <v>148</v>
      </c>
      <c r="U149" s="5" t="str">
        <f>_xlfn.IFS(B149&gt;50000,"Critical",B149&gt;10000,"High",B149&gt;5000,"Moderate",B149&gt;=10,"Low")</f>
        <v>Low</v>
      </c>
    </row>
    <row r="150" spans="1:21" x14ac:dyDescent="0.35">
      <c r="A150" s="1" t="s">
        <v>65</v>
      </c>
      <c r="B150">
        <v>739</v>
      </c>
      <c r="C150">
        <v>2</v>
      </c>
      <c r="D150">
        <v>63</v>
      </c>
      <c r="E150">
        <v>674</v>
      </c>
      <c r="F150">
        <v>53</v>
      </c>
      <c r="G150">
        <v>1</v>
      </c>
      <c r="H150">
        <v>11</v>
      </c>
      <c r="I150">
        <v>0.27</v>
      </c>
      <c r="J150">
        <v>8.5299999999999994</v>
      </c>
      <c r="K150" s="1" t="s">
        <v>66</v>
      </c>
      <c r="L150">
        <v>522</v>
      </c>
      <c r="M150">
        <v>217</v>
      </c>
      <c r="N150">
        <v>41.57</v>
      </c>
      <c r="O150" s="1" t="s">
        <v>23</v>
      </c>
      <c r="P150" s="3">
        <f>covid_data[[#This Row],[Deaths]]/covid_data[[#This Row],[Confirmed]]*100</f>
        <v>0.2706359945872801</v>
      </c>
      <c r="Q150" s="2">
        <f>covid_data[[#This Row],[Recovered]]/covid_data[[#This Row],[Confirmed]]</f>
        <v>8.5250338294993233E-2</v>
      </c>
      <c r="R150" s="3">
        <f>covid_data[[#This Row],[Active]]/covid_data[[#This Row],[Confirmed]]*100</f>
        <v>91.204330175913398</v>
      </c>
      <c r="S150" s="5" t="str">
        <f>IF(covid_data[[#This Row],[New deaths]]&gt;5,"High Risk","Low Risk")</f>
        <v>Low Risk</v>
      </c>
      <c r="T150" s="6">
        <f>RANK(B150,covid_data[Confirmed],0)</f>
        <v>149</v>
      </c>
      <c r="U150" s="5" t="str">
        <f>_xlfn.IFS(B150&gt;50000,"Critical",B150&gt;10000,"High",B150&gt;5000,"Moderate",B150&gt;=10,"Low")</f>
        <v>Low</v>
      </c>
    </row>
    <row r="151" spans="1:21" x14ac:dyDescent="0.35">
      <c r="A151" s="1" t="s">
        <v>226</v>
      </c>
      <c r="B151">
        <v>701</v>
      </c>
      <c r="C151">
        <v>9</v>
      </c>
      <c r="D151">
        <v>665</v>
      </c>
      <c r="E151">
        <v>27</v>
      </c>
      <c r="F151">
        <v>1</v>
      </c>
      <c r="G151">
        <v>0</v>
      </c>
      <c r="H151">
        <v>0</v>
      </c>
      <c r="I151">
        <v>1.28</v>
      </c>
      <c r="J151">
        <v>94.86</v>
      </c>
      <c r="K151" s="1" t="s">
        <v>227</v>
      </c>
      <c r="L151">
        <v>677</v>
      </c>
      <c r="M151">
        <v>24</v>
      </c>
      <c r="N151">
        <v>3.55</v>
      </c>
      <c r="O151" s="1" t="s">
        <v>20</v>
      </c>
      <c r="P151" s="3">
        <f>covid_data[[#This Row],[Deaths]]/covid_data[[#This Row],[Confirmed]]*100</f>
        <v>1.2838801711840229</v>
      </c>
      <c r="Q151" s="2">
        <f>covid_data[[#This Row],[Recovered]]/covid_data[[#This Row],[Confirmed]]</f>
        <v>0.94864479315263905</v>
      </c>
      <c r="R151" s="3">
        <f>covid_data[[#This Row],[Active]]/covid_data[[#This Row],[Confirmed]]*100</f>
        <v>3.8516405135520682</v>
      </c>
      <c r="S151" s="5" t="str">
        <f>IF(covid_data[[#This Row],[New deaths]]&gt;5,"High Risk","Low Risk")</f>
        <v>Low Risk</v>
      </c>
      <c r="T151" s="6">
        <f>RANK(B151,covid_data[Confirmed],0)</f>
        <v>150</v>
      </c>
      <c r="U151" s="5" t="str">
        <f>_xlfn.IFS(B151&gt;50000,"Critical",B151&gt;10000,"High",B151&gt;5000,"Moderate",B151&gt;=10,"Low")</f>
        <v>Low</v>
      </c>
    </row>
    <row r="152" spans="1:21" x14ac:dyDescent="0.35">
      <c r="A152" s="1" t="s">
        <v>287</v>
      </c>
      <c r="B152">
        <v>699</v>
      </c>
      <c r="C152">
        <v>42</v>
      </c>
      <c r="D152">
        <v>657</v>
      </c>
      <c r="E152">
        <v>0</v>
      </c>
      <c r="F152">
        <v>0</v>
      </c>
      <c r="G152">
        <v>0</v>
      </c>
      <c r="H152">
        <v>0</v>
      </c>
      <c r="I152">
        <v>6.01</v>
      </c>
      <c r="J152">
        <v>93.99</v>
      </c>
      <c r="K152" s="1" t="s">
        <v>288</v>
      </c>
      <c r="L152">
        <v>699</v>
      </c>
      <c r="M152">
        <v>0</v>
      </c>
      <c r="N152">
        <v>0</v>
      </c>
      <c r="O152" s="1" t="s">
        <v>20</v>
      </c>
      <c r="P152" s="3">
        <f>covid_data[[#This Row],[Deaths]]/covid_data[[#This Row],[Confirmed]]*100</f>
        <v>6.0085836909871242</v>
      </c>
      <c r="Q152" s="2">
        <f>covid_data[[#This Row],[Recovered]]/covid_data[[#This Row],[Confirmed]]</f>
        <v>0.93991416309012876</v>
      </c>
      <c r="R152" s="3">
        <f>covid_data[[#This Row],[Active]]/covid_data[[#This Row],[Confirmed]]*100</f>
        <v>0</v>
      </c>
      <c r="S152" s="5" t="str">
        <f>IF(covid_data[[#This Row],[New deaths]]&gt;5,"High Risk","Low Risk")</f>
        <v>Low Risk</v>
      </c>
      <c r="T152" s="6">
        <f>RANK(B152,covid_data[Confirmed],0)</f>
        <v>151</v>
      </c>
      <c r="U152" s="5" t="str">
        <f>_xlfn.IFS(B152&gt;50000,"Critical",B152&gt;10000,"High",B152&gt;5000,"Moderate",B152&gt;=10,"Low")</f>
        <v>Low</v>
      </c>
    </row>
    <row r="153" spans="1:21" x14ac:dyDescent="0.35">
      <c r="A153" s="1" t="s">
        <v>320</v>
      </c>
      <c r="B153">
        <v>674</v>
      </c>
      <c r="C153">
        <v>40</v>
      </c>
      <c r="D153">
        <v>0</v>
      </c>
      <c r="E153">
        <v>634</v>
      </c>
      <c r="F153">
        <v>24</v>
      </c>
      <c r="G153">
        <v>2</v>
      </c>
      <c r="H153">
        <v>0</v>
      </c>
      <c r="I153">
        <v>5.93</v>
      </c>
      <c r="J153">
        <v>0</v>
      </c>
      <c r="K153" s="1" t="s">
        <v>85</v>
      </c>
      <c r="L153">
        <v>522</v>
      </c>
      <c r="M153">
        <v>152</v>
      </c>
      <c r="N153">
        <v>29.12</v>
      </c>
      <c r="O153" s="1" t="s">
        <v>17</v>
      </c>
      <c r="P153" s="3">
        <f>covid_data[[#This Row],[Deaths]]/covid_data[[#This Row],[Confirmed]]*100</f>
        <v>5.9347181008902083</v>
      </c>
      <c r="Q153" s="2">
        <f>covid_data[[#This Row],[Recovered]]/covid_data[[#This Row],[Confirmed]]</f>
        <v>0</v>
      </c>
      <c r="R153" s="3">
        <f>covid_data[[#This Row],[Active]]/covid_data[[#This Row],[Confirmed]]*100</f>
        <v>94.065281899109792</v>
      </c>
      <c r="S153" s="5" t="str">
        <f>IF(covid_data[[#This Row],[New deaths]]&gt;5,"High Risk","Low Risk")</f>
        <v>Low Risk</v>
      </c>
      <c r="T153" s="6">
        <f>RANK(B153,covid_data[Confirmed],0)</f>
        <v>152</v>
      </c>
      <c r="U153" s="5" t="str">
        <f>_xlfn.IFS(B153&gt;50000,"Critical",B153&gt;10000,"High",B153&gt;5000,"Moderate",B153&gt;=10,"Low")</f>
        <v>Low</v>
      </c>
    </row>
    <row r="154" spans="1:21" x14ac:dyDescent="0.35">
      <c r="A154" s="1" t="s">
        <v>325</v>
      </c>
      <c r="B154">
        <v>509</v>
      </c>
      <c r="C154">
        <v>21</v>
      </c>
      <c r="D154">
        <v>183</v>
      </c>
      <c r="E154">
        <v>305</v>
      </c>
      <c r="F154">
        <v>0</v>
      </c>
      <c r="G154">
        <v>0</v>
      </c>
      <c r="H154">
        <v>0</v>
      </c>
      <c r="I154">
        <v>4.13</v>
      </c>
      <c r="J154">
        <v>35.950000000000003</v>
      </c>
      <c r="K154" s="1" t="s">
        <v>326</v>
      </c>
      <c r="L154">
        <v>509</v>
      </c>
      <c r="M154">
        <v>0</v>
      </c>
      <c r="N154">
        <v>0</v>
      </c>
      <c r="O154" s="1" t="s">
        <v>23</v>
      </c>
      <c r="P154" s="3">
        <f>covid_data[[#This Row],[Deaths]]/covid_data[[#This Row],[Confirmed]]*100</f>
        <v>4.1257367387033401</v>
      </c>
      <c r="Q154" s="2">
        <f>covid_data[[#This Row],[Recovered]]/covid_data[[#This Row],[Confirmed]]</f>
        <v>0.35952848722986247</v>
      </c>
      <c r="R154" s="3">
        <f>covid_data[[#This Row],[Active]]/covid_data[[#This Row],[Confirmed]]*100</f>
        <v>59.921414538310415</v>
      </c>
      <c r="S154" s="5" t="str">
        <f>IF(covid_data[[#This Row],[New deaths]]&gt;5,"High Risk","Low Risk")</f>
        <v>Low Risk</v>
      </c>
      <c r="T154" s="6">
        <f>RANK(B154,covid_data[Confirmed],0)</f>
        <v>153</v>
      </c>
      <c r="U154" s="5" t="str">
        <f>_xlfn.IFS(B154&gt;50000,"Critical",B154&gt;10000,"High",B154&gt;5000,"Moderate",B154&gt;=10,"Low")</f>
        <v>Low</v>
      </c>
    </row>
    <row r="155" spans="1:21" x14ac:dyDescent="0.35">
      <c r="A155" s="1" t="s">
        <v>205</v>
      </c>
      <c r="B155">
        <v>505</v>
      </c>
      <c r="C155">
        <v>12</v>
      </c>
      <c r="D155">
        <v>128</v>
      </c>
      <c r="E155">
        <v>365</v>
      </c>
      <c r="F155">
        <v>0</v>
      </c>
      <c r="G155">
        <v>0</v>
      </c>
      <c r="H155">
        <v>0</v>
      </c>
      <c r="I155">
        <v>2.38</v>
      </c>
      <c r="J155">
        <v>25.35</v>
      </c>
      <c r="K155" s="1" t="s">
        <v>206</v>
      </c>
      <c r="L155">
        <v>359</v>
      </c>
      <c r="M155">
        <v>146</v>
      </c>
      <c r="N155">
        <v>40.67</v>
      </c>
      <c r="O155" s="1" t="s">
        <v>23</v>
      </c>
      <c r="P155" s="3">
        <f>covid_data[[#This Row],[Deaths]]/covid_data[[#This Row],[Confirmed]]*100</f>
        <v>2.3762376237623761</v>
      </c>
      <c r="Q155" s="2">
        <f>covid_data[[#This Row],[Recovered]]/covid_data[[#This Row],[Confirmed]]</f>
        <v>0.25346534653465347</v>
      </c>
      <c r="R155" s="3">
        <f>covid_data[[#This Row],[Active]]/covid_data[[#This Row],[Confirmed]]*100</f>
        <v>72.277227722772281</v>
      </c>
      <c r="S155" s="5" t="str">
        <f>IF(covid_data[[#This Row],[New deaths]]&gt;5,"High Risk","Low Risk")</f>
        <v>Low Risk</v>
      </c>
      <c r="T155" s="6">
        <f>RANK(B155,covid_data[Confirmed],0)</f>
        <v>154</v>
      </c>
      <c r="U155" s="5" t="str">
        <f>_xlfn.IFS(B155&gt;50000,"Critical",B155&gt;10000,"High",B155&gt;5000,"Moderate",B155&gt;=10,"Low")</f>
        <v>Low</v>
      </c>
    </row>
    <row r="156" spans="1:21" x14ac:dyDescent="0.35">
      <c r="A156" s="1" t="s">
        <v>321</v>
      </c>
      <c r="B156">
        <v>462</v>
      </c>
      <c r="C156">
        <v>7</v>
      </c>
      <c r="D156">
        <v>440</v>
      </c>
      <c r="E156">
        <v>15</v>
      </c>
      <c r="F156">
        <v>4</v>
      </c>
      <c r="G156">
        <v>0</v>
      </c>
      <c r="H156">
        <v>0</v>
      </c>
      <c r="I156">
        <v>1.52</v>
      </c>
      <c r="J156">
        <v>95.24</v>
      </c>
      <c r="K156" s="1" t="s">
        <v>322</v>
      </c>
      <c r="L156">
        <v>451</v>
      </c>
      <c r="M156">
        <v>11</v>
      </c>
      <c r="N156">
        <v>2.44</v>
      </c>
      <c r="O156" s="1" t="s">
        <v>37</v>
      </c>
      <c r="P156" s="3">
        <f>covid_data[[#This Row],[Deaths]]/covid_data[[#This Row],[Confirmed]]*100</f>
        <v>1.5151515151515151</v>
      </c>
      <c r="Q156" s="2">
        <f>covid_data[[#This Row],[Recovered]]/covid_data[[#This Row],[Confirmed]]</f>
        <v>0.95238095238095233</v>
      </c>
      <c r="R156" s="3">
        <f>covid_data[[#This Row],[Active]]/covid_data[[#This Row],[Confirmed]]*100</f>
        <v>3.2467532467532463</v>
      </c>
      <c r="S156" s="5" t="str">
        <f>IF(covid_data[[#This Row],[New deaths]]&gt;5,"High Risk","Low Risk")</f>
        <v>Low Risk</v>
      </c>
      <c r="T156" s="6">
        <f>RANK(B156,covid_data[Confirmed],0)</f>
        <v>155</v>
      </c>
      <c r="U156" s="5" t="str">
        <f>_xlfn.IFS(B156&gt;50000,"Critical",B156&gt;10000,"High",B156&gt;5000,"Moderate",B156&gt;=10,"Low")</f>
        <v>Low</v>
      </c>
    </row>
    <row r="157" spans="1:21" x14ac:dyDescent="0.35">
      <c r="A157" s="1" t="s">
        <v>352</v>
      </c>
      <c r="B157">
        <v>431</v>
      </c>
      <c r="C157">
        <v>0</v>
      </c>
      <c r="D157">
        <v>365</v>
      </c>
      <c r="E157">
        <v>66</v>
      </c>
      <c r="F157">
        <v>11</v>
      </c>
      <c r="G157">
        <v>0</v>
      </c>
      <c r="H157">
        <v>0</v>
      </c>
      <c r="I157">
        <v>0</v>
      </c>
      <c r="J157">
        <v>84.69</v>
      </c>
      <c r="K157" s="1" t="s">
        <v>60</v>
      </c>
      <c r="L157">
        <v>384</v>
      </c>
      <c r="M157">
        <v>47</v>
      </c>
      <c r="N157">
        <v>12.24</v>
      </c>
      <c r="O157" s="1" t="s">
        <v>37</v>
      </c>
      <c r="P157" s="3">
        <f>covid_data[[#This Row],[Deaths]]/covid_data[[#This Row],[Confirmed]]*100</f>
        <v>0</v>
      </c>
      <c r="Q157" s="2">
        <f>covid_data[[#This Row],[Recovered]]/covid_data[[#This Row],[Confirmed]]</f>
        <v>0.84686774941995357</v>
      </c>
      <c r="R157" s="3">
        <f>covid_data[[#This Row],[Active]]/covid_data[[#This Row],[Confirmed]]*100</f>
        <v>15.31322505800464</v>
      </c>
      <c r="S157" s="5" t="str">
        <f>IF(covid_data[[#This Row],[New deaths]]&gt;5,"High Risk","Low Risk")</f>
        <v>Low Risk</v>
      </c>
      <c r="T157" s="6">
        <f>RANK(B157,covid_data[Confirmed],0)</f>
        <v>156</v>
      </c>
      <c r="U157" s="5" t="str">
        <f>_xlfn.IFS(B157&gt;50000,"Critical",B157&gt;10000,"High",B157&gt;5000,"Moderate",B157&gt;=10,"Low")</f>
        <v>Low</v>
      </c>
    </row>
    <row r="158" spans="1:21" x14ac:dyDescent="0.35">
      <c r="A158" s="1" t="s">
        <v>159</v>
      </c>
      <c r="B158">
        <v>389</v>
      </c>
      <c r="C158">
        <v>20</v>
      </c>
      <c r="D158">
        <v>181</v>
      </c>
      <c r="E158">
        <v>188</v>
      </c>
      <c r="F158">
        <v>19</v>
      </c>
      <c r="G158">
        <v>0</v>
      </c>
      <c r="H158">
        <v>0</v>
      </c>
      <c r="I158">
        <v>5.14</v>
      </c>
      <c r="J158">
        <v>46.53</v>
      </c>
      <c r="K158" s="1" t="s">
        <v>160</v>
      </c>
      <c r="L158">
        <v>337</v>
      </c>
      <c r="M158">
        <v>52</v>
      </c>
      <c r="N158">
        <v>15.43</v>
      </c>
      <c r="O158" s="1" t="s">
        <v>30</v>
      </c>
      <c r="P158" s="3">
        <f>covid_data[[#This Row],[Deaths]]/covid_data[[#This Row],[Confirmed]]*100</f>
        <v>5.1413881748071981</v>
      </c>
      <c r="Q158" s="2">
        <f>covid_data[[#This Row],[Recovered]]/covid_data[[#This Row],[Confirmed]]</f>
        <v>0.4652956298200514</v>
      </c>
      <c r="R158" s="3">
        <f>covid_data[[#This Row],[Active]]/covid_data[[#This Row],[Confirmed]]*100</f>
        <v>48.329048843187664</v>
      </c>
      <c r="S158" s="5" t="str">
        <f>IF(covid_data[[#This Row],[New deaths]]&gt;5,"High Risk","Low Risk")</f>
        <v>Low Risk</v>
      </c>
      <c r="T158" s="6">
        <f>RANK(B158,covid_data[Confirmed],0)</f>
        <v>157</v>
      </c>
      <c r="U158" s="5" t="str">
        <f>_xlfn.IFS(B158&gt;50000,"Critical",B158&gt;10000,"High",B158&gt;5000,"Moderate",B158&gt;=10,"Low")</f>
        <v>Low</v>
      </c>
    </row>
    <row r="159" spans="1:21" x14ac:dyDescent="0.35">
      <c r="A159" s="1" t="s">
        <v>42</v>
      </c>
      <c r="B159">
        <v>382</v>
      </c>
      <c r="C159">
        <v>11</v>
      </c>
      <c r="D159">
        <v>91</v>
      </c>
      <c r="E159">
        <v>280</v>
      </c>
      <c r="F159">
        <v>40</v>
      </c>
      <c r="G159">
        <v>0</v>
      </c>
      <c r="H159">
        <v>0</v>
      </c>
      <c r="I159">
        <v>2.88</v>
      </c>
      <c r="J159">
        <v>23.82</v>
      </c>
      <c r="K159" s="1" t="s">
        <v>43</v>
      </c>
      <c r="L159">
        <v>174</v>
      </c>
      <c r="M159">
        <v>208</v>
      </c>
      <c r="N159">
        <v>119.54</v>
      </c>
      <c r="O159" s="1" t="s">
        <v>30</v>
      </c>
      <c r="P159" s="3">
        <f>covid_data[[#This Row],[Deaths]]/covid_data[[#This Row],[Confirmed]]*100</f>
        <v>2.8795811518324608</v>
      </c>
      <c r="Q159" s="2">
        <f>covid_data[[#This Row],[Recovered]]/covid_data[[#This Row],[Confirmed]]</f>
        <v>0.23821989528795812</v>
      </c>
      <c r="R159" s="3">
        <f>covid_data[[#This Row],[Active]]/covid_data[[#This Row],[Confirmed]]*100</f>
        <v>73.298429319371721</v>
      </c>
      <c r="S159" s="5" t="str">
        <f>IF(covid_data[[#This Row],[New deaths]]&gt;5,"High Risk","Low Risk")</f>
        <v>Low Risk</v>
      </c>
      <c r="T159" s="6">
        <f>RANK(B159,covid_data[Confirmed],0)</f>
        <v>158</v>
      </c>
      <c r="U159" s="5" t="str">
        <f>_xlfn.IFS(B159&gt;50000,"Critical",B159&gt;10000,"High",B159&gt;5000,"Moderate",B159&gt;=10,"Low")</f>
        <v>Low</v>
      </c>
    </row>
    <row r="160" spans="1:21" x14ac:dyDescent="0.35">
      <c r="A160" s="1" t="s">
        <v>77</v>
      </c>
      <c r="B160">
        <v>378</v>
      </c>
      <c r="C160">
        <v>1</v>
      </c>
      <c r="D160">
        <v>301</v>
      </c>
      <c r="E160">
        <v>76</v>
      </c>
      <c r="F160">
        <v>17</v>
      </c>
      <c r="G160">
        <v>0</v>
      </c>
      <c r="H160">
        <v>22</v>
      </c>
      <c r="I160">
        <v>0.26</v>
      </c>
      <c r="J160">
        <v>79.63</v>
      </c>
      <c r="K160" s="1" t="s">
        <v>78</v>
      </c>
      <c r="L160">
        <v>322</v>
      </c>
      <c r="M160">
        <v>56</v>
      </c>
      <c r="N160">
        <v>17.39</v>
      </c>
      <c r="O160" s="1" t="s">
        <v>23</v>
      </c>
      <c r="P160" s="3">
        <f>covid_data[[#This Row],[Deaths]]/covid_data[[#This Row],[Confirmed]]*100</f>
        <v>0.26455026455026454</v>
      </c>
      <c r="Q160" s="2">
        <f>covid_data[[#This Row],[Recovered]]/covid_data[[#This Row],[Confirmed]]</f>
        <v>0.79629629629629628</v>
      </c>
      <c r="R160" s="3">
        <f>covid_data[[#This Row],[Active]]/covid_data[[#This Row],[Confirmed]]*100</f>
        <v>20.105820105820104</v>
      </c>
      <c r="S160" s="5" t="str">
        <f>IF(covid_data[[#This Row],[New deaths]]&gt;5,"High Risk","Low Risk")</f>
        <v>Low Risk</v>
      </c>
      <c r="T160" s="6">
        <f>RANK(B160,covid_data[Confirmed],0)</f>
        <v>159</v>
      </c>
      <c r="U160" s="5" t="str">
        <f>_xlfn.IFS(B160&gt;50000,"Critical",B160&gt;10000,"High",B160&gt;5000,"Moderate",B160&gt;=10,"Low")</f>
        <v>Low</v>
      </c>
    </row>
    <row r="161" spans="1:21" x14ac:dyDescent="0.35">
      <c r="A161" s="1" t="s">
        <v>96</v>
      </c>
      <c r="B161">
        <v>354</v>
      </c>
      <c r="C161">
        <v>7</v>
      </c>
      <c r="D161">
        <v>328</v>
      </c>
      <c r="E161">
        <v>19</v>
      </c>
      <c r="F161">
        <v>0</v>
      </c>
      <c r="G161">
        <v>0</v>
      </c>
      <c r="H161">
        <v>0</v>
      </c>
      <c r="I161">
        <v>1.98</v>
      </c>
      <c r="J161">
        <v>92.66</v>
      </c>
      <c r="K161" s="1" t="s">
        <v>97</v>
      </c>
      <c r="L161">
        <v>334</v>
      </c>
      <c r="M161">
        <v>20</v>
      </c>
      <c r="N161">
        <v>5.99</v>
      </c>
      <c r="O161" s="1" t="s">
        <v>23</v>
      </c>
      <c r="P161" s="3">
        <f>covid_data[[#This Row],[Deaths]]/covid_data[[#This Row],[Confirmed]]*100</f>
        <v>1.977401129943503</v>
      </c>
      <c r="Q161" s="2">
        <f>covid_data[[#This Row],[Recovered]]/covid_data[[#This Row],[Confirmed]]</f>
        <v>0.92655367231638419</v>
      </c>
      <c r="R161" s="3">
        <f>covid_data[[#This Row],[Active]]/covid_data[[#This Row],[Confirmed]]*100</f>
        <v>5.3672316384180787</v>
      </c>
      <c r="S161" s="5" t="str">
        <f>IF(covid_data[[#This Row],[New deaths]]&gt;5,"High Risk","Low Risk")</f>
        <v>Low Risk</v>
      </c>
      <c r="T161" s="6">
        <f>RANK(B161,covid_data[Confirmed],0)</f>
        <v>160</v>
      </c>
      <c r="U161" s="5" t="str">
        <f>_xlfn.IFS(B161&gt;50000,"Critical",B161&gt;10000,"High",B161&gt;5000,"Moderate",B161&gt;=10,"Low")</f>
        <v>Low</v>
      </c>
    </row>
    <row r="162" spans="1:21" x14ac:dyDescent="0.35">
      <c r="A162" s="1" t="s">
        <v>75</v>
      </c>
      <c r="B162">
        <v>350</v>
      </c>
      <c r="C162">
        <v>6</v>
      </c>
      <c r="D162">
        <v>292</v>
      </c>
      <c r="E162">
        <v>52</v>
      </c>
      <c r="F162">
        <v>0</v>
      </c>
      <c r="G162">
        <v>0</v>
      </c>
      <c r="H162">
        <v>2</v>
      </c>
      <c r="I162">
        <v>1.71</v>
      </c>
      <c r="J162">
        <v>83.43</v>
      </c>
      <c r="K162" s="1" t="s">
        <v>76</v>
      </c>
      <c r="L162">
        <v>341</v>
      </c>
      <c r="M162">
        <v>9</v>
      </c>
      <c r="N162">
        <v>2.64</v>
      </c>
      <c r="O162" s="1" t="s">
        <v>48</v>
      </c>
      <c r="P162" s="3">
        <f>covid_data[[#This Row],[Deaths]]/covid_data[[#This Row],[Confirmed]]*100</f>
        <v>1.7142857142857144</v>
      </c>
      <c r="Q162" s="2">
        <f>covid_data[[#This Row],[Recovered]]/covid_data[[#This Row],[Confirmed]]</f>
        <v>0.8342857142857143</v>
      </c>
      <c r="R162" s="3">
        <f>covid_data[[#This Row],[Active]]/covid_data[[#This Row],[Confirmed]]*100</f>
        <v>14.857142857142858</v>
      </c>
      <c r="S162" s="5" t="str">
        <f>IF(covid_data[[#This Row],[New deaths]]&gt;5,"High Risk","Low Risk")</f>
        <v>Low Risk</v>
      </c>
      <c r="T162" s="6">
        <f>RANK(B162,covid_data[Confirmed],0)</f>
        <v>161</v>
      </c>
      <c r="U162" s="5" t="str">
        <f>_xlfn.IFS(B162&gt;50000,"Critical",B162&gt;10000,"High",B162&gt;5000,"Moderate",B162&gt;=10,"Low")</f>
        <v>Low</v>
      </c>
    </row>
    <row r="163" spans="1:21" x14ac:dyDescent="0.35">
      <c r="A163" s="1" t="s">
        <v>230</v>
      </c>
      <c r="B163">
        <v>344</v>
      </c>
      <c r="C163">
        <v>10</v>
      </c>
      <c r="D163">
        <v>332</v>
      </c>
      <c r="E163">
        <v>2</v>
      </c>
      <c r="F163">
        <v>0</v>
      </c>
      <c r="G163">
        <v>0</v>
      </c>
      <c r="H163">
        <v>0</v>
      </c>
      <c r="I163">
        <v>2.91</v>
      </c>
      <c r="J163">
        <v>96.51</v>
      </c>
      <c r="K163" s="1" t="s">
        <v>103</v>
      </c>
      <c r="L163">
        <v>343</v>
      </c>
      <c r="M163">
        <v>1</v>
      </c>
      <c r="N163">
        <v>0.28999999999999998</v>
      </c>
      <c r="O163" s="1" t="s">
        <v>23</v>
      </c>
      <c r="P163" s="3">
        <f>covid_data[[#This Row],[Deaths]]/covid_data[[#This Row],[Confirmed]]*100</f>
        <v>2.9069767441860463</v>
      </c>
      <c r="Q163" s="2">
        <f>covid_data[[#This Row],[Recovered]]/covid_data[[#This Row],[Confirmed]]</f>
        <v>0.96511627906976749</v>
      </c>
      <c r="R163" s="3">
        <f>covid_data[[#This Row],[Active]]/covid_data[[#This Row],[Confirmed]]*100</f>
        <v>0.58139534883720934</v>
      </c>
      <c r="S163" s="5" t="str">
        <f>IF(covid_data[[#This Row],[New deaths]]&gt;5,"High Risk","Low Risk")</f>
        <v>Low Risk</v>
      </c>
      <c r="T163" s="6">
        <f>RANK(B163,covid_data[Confirmed],0)</f>
        <v>162</v>
      </c>
      <c r="U163" s="5" t="str">
        <f>_xlfn.IFS(B163&gt;50000,"Critical",B163&gt;10000,"High",B163&gt;5000,"Moderate",B163&gt;=10,"Low")</f>
        <v>Low</v>
      </c>
    </row>
    <row r="164" spans="1:21" x14ac:dyDescent="0.35">
      <c r="A164" s="1" t="s">
        <v>141</v>
      </c>
      <c r="B164">
        <v>326</v>
      </c>
      <c r="C164">
        <v>8</v>
      </c>
      <c r="D164">
        <v>66</v>
      </c>
      <c r="E164">
        <v>252</v>
      </c>
      <c r="F164">
        <v>49</v>
      </c>
      <c r="G164">
        <v>2</v>
      </c>
      <c r="H164">
        <v>6</v>
      </c>
      <c r="I164">
        <v>2.4500000000000002</v>
      </c>
      <c r="J164">
        <v>20.25</v>
      </c>
      <c r="K164" s="1" t="s">
        <v>142</v>
      </c>
      <c r="L164">
        <v>112</v>
      </c>
      <c r="M164">
        <v>214</v>
      </c>
      <c r="N164">
        <v>191.07</v>
      </c>
      <c r="O164" s="1" t="s">
        <v>23</v>
      </c>
      <c r="P164" s="3">
        <f>covid_data[[#This Row],[Deaths]]/covid_data[[#This Row],[Confirmed]]*100</f>
        <v>2.4539877300613497</v>
      </c>
      <c r="Q164" s="2">
        <f>covid_data[[#This Row],[Recovered]]/covid_data[[#This Row],[Confirmed]]</f>
        <v>0.20245398773006135</v>
      </c>
      <c r="R164" s="3">
        <f>covid_data[[#This Row],[Active]]/covid_data[[#This Row],[Confirmed]]*100</f>
        <v>77.300613496932513</v>
      </c>
      <c r="S164" s="5" t="str">
        <f>IF(covid_data[[#This Row],[New deaths]]&gt;5,"High Risk","Low Risk")</f>
        <v>Low Risk</v>
      </c>
      <c r="T164" s="6">
        <f>RANK(B164,covid_data[Confirmed],0)</f>
        <v>163</v>
      </c>
      <c r="U164" s="5" t="str">
        <f>_xlfn.IFS(B164&gt;50000,"Critical",B164&gt;10000,"High",B164&gt;5000,"Moderate",B164&gt;=10,"Low")</f>
        <v>Low</v>
      </c>
    </row>
    <row r="165" spans="1:21" x14ac:dyDescent="0.35">
      <c r="A165" s="1" t="s">
        <v>237</v>
      </c>
      <c r="B165">
        <v>289</v>
      </c>
      <c r="C165">
        <v>0</v>
      </c>
      <c r="D165">
        <v>222</v>
      </c>
      <c r="E165">
        <v>67</v>
      </c>
      <c r="F165">
        <v>1</v>
      </c>
      <c r="G165">
        <v>0</v>
      </c>
      <c r="H165">
        <v>4</v>
      </c>
      <c r="I165">
        <v>0</v>
      </c>
      <c r="J165">
        <v>76.819999999999993</v>
      </c>
      <c r="K165" s="1" t="s">
        <v>60</v>
      </c>
      <c r="L165">
        <v>287</v>
      </c>
      <c r="M165">
        <v>2</v>
      </c>
      <c r="N165">
        <v>0.7</v>
      </c>
      <c r="O165" s="1" t="s">
        <v>37</v>
      </c>
      <c r="P165" s="3">
        <f>covid_data[[#This Row],[Deaths]]/covid_data[[#This Row],[Confirmed]]*100</f>
        <v>0</v>
      </c>
      <c r="Q165" s="2">
        <f>covid_data[[#This Row],[Recovered]]/covid_data[[#This Row],[Confirmed]]</f>
        <v>0.76816608996539792</v>
      </c>
      <c r="R165" s="3">
        <f>covid_data[[#This Row],[Active]]/covid_data[[#This Row],[Confirmed]]*100</f>
        <v>23.183391003460208</v>
      </c>
      <c r="S165" s="5" t="str">
        <f>IF(covid_data[[#This Row],[New deaths]]&gt;5,"High Risk","Low Risk")</f>
        <v>Low Risk</v>
      </c>
      <c r="T165" s="6">
        <f>RANK(B165,covid_data[Confirmed],0)</f>
        <v>164</v>
      </c>
      <c r="U165" s="5" t="str">
        <f>_xlfn.IFS(B165&gt;50000,"Critical",B165&gt;10000,"High",B165&gt;5000,"Moderate",B165&gt;=10,"Low")</f>
        <v>Low</v>
      </c>
    </row>
    <row r="166" spans="1:21" x14ac:dyDescent="0.35">
      <c r="A166" s="1" t="s">
        <v>128</v>
      </c>
      <c r="B166">
        <v>265</v>
      </c>
      <c r="C166">
        <v>0</v>
      </c>
      <c r="D166">
        <v>191</v>
      </c>
      <c r="E166">
        <v>74</v>
      </c>
      <c r="F166">
        <v>2</v>
      </c>
      <c r="G166">
        <v>0</v>
      </c>
      <c r="H166">
        <v>2</v>
      </c>
      <c r="I166">
        <v>0</v>
      </c>
      <c r="J166">
        <v>72.08</v>
      </c>
      <c r="K166" s="1" t="s">
        <v>60</v>
      </c>
      <c r="L166">
        <v>251</v>
      </c>
      <c r="M166">
        <v>14</v>
      </c>
      <c r="N166">
        <v>5.58</v>
      </c>
      <c r="O166" s="1" t="s">
        <v>23</v>
      </c>
      <c r="P166" s="3">
        <f>covid_data[[#This Row],[Deaths]]/covid_data[[#This Row],[Confirmed]]*100</f>
        <v>0</v>
      </c>
      <c r="Q166" s="2">
        <f>covid_data[[#This Row],[Recovered]]/covid_data[[#This Row],[Confirmed]]</f>
        <v>0.72075471698113203</v>
      </c>
      <c r="R166" s="3">
        <f>covid_data[[#This Row],[Active]]/covid_data[[#This Row],[Confirmed]]*100</f>
        <v>27.924528301886792</v>
      </c>
      <c r="S166" s="5" t="str">
        <f>IF(covid_data[[#This Row],[New deaths]]&gt;5,"High Risk","Low Risk")</f>
        <v>Low Risk</v>
      </c>
      <c r="T166" s="6">
        <f>RANK(B166,covid_data[Confirmed],0)</f>
        <v>165</v>
      </c>
      <c r="U166" s="5" t="str">
        <f>_xlfn.IFS(B166&gt;50000,"Critical",B166&gt;10000,"High",B166&gt;5000,"Moderate",B166&gt;=10,"Low")</f>
        <v>Low</v>
      </c>
    </row>
    <row r="167" spans="1:21" x14ac:dyDescent="0.35">
      <c r="A167" s="1" t="s">
        <v>81</v>
      </c>
      <c r="B167">
        <v>226</v>
      </c>
      <c r="C167">
        <v>0</v>
      </c>
      <c r="D167">
        <v>147</v>
      </c>
      <c r="E167">
        <v>79</v>
      </c>
      <c r="F167">
        <v>1</v>
      </c>
      <c r="G167">
        <v>0</v>
      </c>
      <c r="H167">
        <v>4</v>
      </c>
      <c r="I167">
        <v>0</v>
      </c>
      <c r="J167">
        <v>65.040000000000006</v>
      </c>
      <c r="K167" s="1" t="s">
        <v>60</v>
      </c>
      <c r="L167">
        <v>171</v>
      </c>
      <c r="M167">
        <v>55</v>
      </c>
      <c r="N167">
        <v>32.159999999999997</v>
      </c>
      <c r="O167" s="1" t="s">
        <v>37</v>
      </c>
      <c r="P167" s="3">
        <f>covid_data[[#This Row],[Deaths]]/covid_data[[#This Row],[Confirmed]]*100</f>
        <v>0</v>
      </c>
      <c r="Q167" s="2">
        <f>covid_data[[#This Row],[Recovered]]/covid_data[[#This Row],[Confirmed]]</f>
        <v>0.65044247787610621</v>
      </c>
      <c r="R167" s="3">
        <f>covid_data[[#This Row],[Active]]/covid_data[[#This Row],[Confirmed]]*100</f>
        <v>34.955752212389378</v>
      </c>
      <c r="S167" s="5" t="str">
        <f>IF(covid_data[[#This Row],[New deaths]]&gt;5,"High Risk","Low Risk")</f>
        <v>Low Risk</v>
      </c>
      <c r="T167" s="6">
        <f>RANK(B167,covid_data[Confirmed],0)</f>
        <v>166</v>
      </c>
      <c r="U167" s="5" t="str">
        <f>_xlfn.IFS(B167&gt;50000,"Critical",B167&gt;10000,"High",B167&gt;5000,"Moderate",B167&gt;=10,"Low")</f>
        <v>Low</v>
      </c>
    </row>
    <row r="168" spans="1:21" x14ac:dyDescent="0.35">
      <c r="A168" s="1" t="s">
        <v>331</v>
      </c>
      <c r="B168">
        <v>148</v>
      </c>
      <c r="C168">
        <v>8</v>
      </c>
      <c r="D168">
        <v>128</v>
      </c>
      <c r="E168">
        <v>12</v>
      </c>
      <c r="F168">
        <v>1</v>
      </c>
      <c r="G168">
        <v>0</v>
      </c>
      <c r="H168">
        <v>0</v>
      </c>
      <c r="I168">
        <v>5.41</v>
      </c>
      <c r="J168">
        <v>86.49</v>
      </c>
      <c r="K168" s="1" t="s">
        <v>332</v>
      </c>
      <c r="L168">
        <v>137</v>
      </c>
      <c r="M168">
        <v>11</v>
      </c>
      <c r="N168">
        <v>8.0299999999999994</v>
      </c>
      <c r="O168" s="1" t="s">
        <v>30</v>
      </c>
      <c r="P168" s="3">
        <f>covid_data[[#This Row],[Deaths]]/covid_data[[#This Row],[Confirmed]]*100</f>
        <v>5.4054054054054053</v>
      </c>
      <c r="Q168" s="2">
        <f>covid_data[[#This Row],[Recovered]]/covid_data[[#This Row],[Confirmed]]</f>
        <v>0.86486486486486491</v>
      </c>
      <c r="R168" s="3">
        <f>covid_data[[#This Row],[Active]]/covid_data[[#This Row],[Confirmed]]*100</f>
        <v>8.1081081081081088</v>
      </c>
      <c r="S168" s="5" t="str">
        <f>IF(covid_data[[#This Row],[New deaths]]&gt;5,"High Risk","Low Risk")</f>
        <v>Low Risk</v>
      </c>
      <c r="T168" s="6">
        <f>RANK(B168,covid_data[Confirmed],0)</f>
        <v>167</v>
      </c>
      <c r="U168" s="5" t="str">
        <f>_xlfn.IFS(B168&gt;50000,"Critical",B168&gt;10000,"High",B168&gt;5000,"Moderate",B168&gt;=10,"Low")</f>
        <v>Low</v>
      </c>
    </row>
    <row r="169" spans="1:21" x14ac:dyDescent="0.35">
      <c r="A169" s="1" t="s">
        <v>69</v>
      </c>
      <c r="B169">
        <v>141</v>
      </c>
      <c r="C169">
        <v>3</v>
      </c>
      <c r="D169">
        <v>138</v>
      </c>
      <c r="E169">
        <v>0</v>
      </c>
      <c r="F169">
        <v>0</v>
      </c>
      <c r="G169">
        <v>0</v>
      </c>
      <c r="H169">
        <v>0</v>
      </c>
      <c r="I169">
        <v>2.13</v>
      </c>
      <c r="J169">
        <v>97.87</v>
      </c>
      <c r="K169" s="1" t="s">
        <v>70</v>
      </c>
      <c r="L169">
        <v>141</v>
      </c>
      <c r="M169">
        <v>0</v>
      </c>
      <c r="N169">
        <v>0</v>
      </c>
      <c r="O169" s="1" t="s">
        <v>37</v>
      </c>
      <c r="P169" s="3">
        <f>covid_data[[#This Row],[Deaths]]/covid_data[[#This Row],[Confirmed]]*100</f>
        <v>2.1276595744680851</v>
      </c>
      <c r="Q169" s="2">
        <f>covid_data[[#This Row],[Recovered]]/covid_data[[#This Row],[Confirmed]]</f>
        <v>0.97872340425531912</v>
      </c>
      <c r="R169" s="3">
        <f>covid_data[[#This Row],[Active]]/covid_data[[#This Row],[Confirmed]]*100</f>
        <v>0</v>
      </c>
      <c r="S169" s="5" t="str">
        <f>IF(covid_data[[#This Row],[New deaths]]&gt;5,"High Risk","Low Risk")</f>
        <v>Low Risk</v>
      </c>
      <c r="T169" s="6">
        <f>RANK(B169,covid_data[Confirmed],0)</f>
        <v>168</v>
      </c>
      <c r="U169" s="5" t="str">
        <f>_xlfn.IFS(B169&gt;50000,"Critical",B169&gt;10000,"High",B169&gt;5000,"Moderate",B169&gt;=10,"Low")</f>
        <v>Low</v>
      </c>
    </row>
    <row r="170" spans="1:21" x14ac:dyDescent="0.35">
      <c r="A170" s="1" t="s">
        <v>235</v>
      </c>
      <c r="B170">
        <v>116</v>
      </c>
      <c r="C170">
        <v>4</v>
      </c>
      <c r="D170">
        <v>104</v>
      </c>
      <c r="E170">
        <v>8</v>
      </c>
      <c r="F170">
        <v>0</v>
      </c>
      <c r="G170">
        <v>0</v>
      </c>
      <c r="H170">
        <v>0</v>
      </c>
      <c r="I170">
        <v>3.45</v>
      </c>
      <c r="J170">
        <v>89.66</v>
      </c>
      <c r="K170" s="1" t="s">
        <v>236</v>
      </c>
      <c r="L170">
        <v>109</v>
      </c>
      <c r="M170">
        <v>7</v>
      </c>
      <c r="N170">
        <v>6.42</v>
      </c>
      <c r="O170" s="1" t="s">
        <v>20</v>
      </c>
      <c r="P170" s="3">
        <f>covid_data[[#This Row],[Deaths]]/covid_data[[#This Row],[Confirmed]]*100</f>
        <v>3.4482758620689653</v>
      </c>
      <c r="Q170" s="2">
        <f>covid_data[[#This Row],[Recovered]]/covid_data[[#This Row],[Confirmed]]</f>
        <v>0.89655172413793105</v>
      </c>
      <c r="R170" s="3">
        <f>covid_data[[#This Row],[Active]]/covid_data[[#This Row],[Confirmed]]*100</f>
        <v>6.8965517241379306</v>
      </c>
      <c r="S170" s="5" t="str">
        <f>IF(covid_data[[#This Row],[New deaths]]&gt;5,"High Risk","Low Risk")</f>
        <v>Low Risk</v>
      </c>
      <c r="T170" s="6">
        <f>RANK(B170,covid_data[Confirmed],0)</f>
        <v>169</v>
      </c>
      <c r="U170" s="5" t="str">
        <f>_xlfn.IFS(B170&gt;50000,"Critical",B170&gt;10000,"High",B170&gt;5000,"Moderate",B170&gt;=10,"Low")</f>
        <v>Low</v>
      </c>
    </row>
    <row r="171" spans="1:21" x14ac:dyDescent="0.35">
      <c r="A171" s="1" t="s">
        <v>295</v>
      </c>
      <c r="B171">
        <v>114</v>
      </c>
      <c r="C171">
        <v>0</v>
      </c>
      <c r="D171">
        <v>39</v>
      </c>
      <c r="E171">
        <v>75</v>
      </c>
      <c r="F171">
        <v>0</v>
      </c>
      <c r="G171">
        <v>0</v>
      </c>
      <c r="H171">
        <v>0</v>
      </c>
      <c r="I171">
        <v>0</v>
      </c>
      <c r="J171">
        <v>34.21</v>
      </c>
      <c r="K171" s="1" t="s">
        <v>60</v>
      </c>
      <c r="L171">
        <v>108</v>
      </c>
      <c r="M171">
        <v>6</v>
      </c>
      <c r="N171">
        <v>5.56</v>
      </c>
      <c r="O171" s="1" t="s">
        <v>23</v>
      </c>
      <c r="P171" s="3">
        <f>covid_data[[#This Row],[Deaths]]/covid_data[[#This Row],[Confirmed]]*100</f>
        <v>0</v>
      </c>
      <c r="Q171" s="2">
        <f>covid_data[[#This Row],[Recovered]]/covid_data[[#This Row],[Confirmed]]</f>
        <v>0.34210526315789475</v>
      </c>
      <c r="R171" s="3">
        <f>covid_data[[#This Row],[Active]]/covid_data[[#This Row],[Confirmed]]*100</f>
        <v>65.789473684210535</v>
      </c>
      <c r="S171" s="5" t="str">
        <f>IF(covid_data[[#This Row],[New deaths]]&gt;5,"High Risk","Low Risk")</f>
        <v>Low Risk</v>
      </c>
      <c r="T171" s="6">
        <f>RANK(B171,covid_data[Confirmed],0)</f>
        <v>170</v>
      </c>
      <c r="U171" s="5" t="str">
        <f>_xlfn.IFS(B171&gt;50000,"Critical",B171&gt;10000,"High",B171&gt;5000,"Moderate",B171&gt;=10,"Low")</f>
        <v>Low</v>
      </c>
    </row>
    <row r="172" spans="1:21" x14ac:dyDescent="0.35">
      <c r="A172" s="1" t="s">
        <v>49</v>
      </c>
      <c r="B172">
        <v>110</v>
      </c>
      <c r="C172">
        <v>7</v>
      </c>
      <c r="D172">
        <v>94</v>
      </c>
      <c r="E172">
        <v>9</v>
      </c>
      <c r="F172">
        <v>0</v>
      </c>
      <c r="G172">
        <v>0</v>
      </c>
      <c r="H172">
        <v>0</v>
      </c>
      <c r="I172">
        <v>6.36</v>
      </c>
      <c r="J172">
        <v>85.45</v>
      </c>
      <c r="K172" s="1" t="s">
        <v>50</v>
      </c>
      <c r="L172">
        <v>106</v>
      </c>
      <c r="M172">
        <v>4</v>
      </c>
      <c r="N172">
        <v>3.77</v>
      </c>
      <c r="O172" s="1" t="s">
        <v>30</v>
      </c>
      <c r="P172" s="3">
        <f>covid_data[[#This Row],[Deaths]]/covid_data[[#This Row],[Confirmed]]*100</f>
        <v>6.3636363636363633</v>
      </c>
      <c r="Q172" s="2">
        <f>covid_data[[#This Row],[Recovered]]/covid_data[[#This Row],[Confirmed]]</f>
        <v>0.8545454545454545</v>
      </c>
      <c r="R172" s="3">
        <f>covid_data[[#This Row],[Active]]/covid_data[[#This Row],[Confirmed]]*100</f>
        <v>8.1818181818181817</v>
      </c>
      <c r="S172" s="5" t="str">
        <f>IF(covid_data[[#This Row],[New deaths]]&gt;5,"High Risk","Low Risk")</f>
        <v>Low Risk</v>
      </c>
      <c r="T172" s="6">
        <f>RANK(B172,covid_data[Confirmed],0)</f>
        <v>171</v>
      </c>
      <c r="U172" s="5" t="str">
        <f>_xlfn.IFS(B172&gt;50000,"Critical",B172&gt;10000,"High",B172&gt;5000,"Moderate",B172&gt;=10,"Low")</f>
        <v>Low</v>
      </c>
    </row>
    <row r="173" spans="1:21" x14ac:dyDescent="0.35">
      <c r="A173" s="1" t="s">
        <v>59</v>
      </c>
      <c r="B173">
        <v>99</v>
      </c>
      <c r="C173">
        <v>0</v>
      </c>
      <c r="D173">
        <v>86</v>
      </c>
      <c r="E173">
        <v>13</v>
      </c>
      <c r="F173">
        <v>4</v>
      </c>
      <c r="G173">
        <v>0</v>
      </c>
      <c r="H173">
        <v>1</v>
      </c>
      <c r="I173">
        <v>0</v>
      </c>
      <c r="J173">
        <v>86.87</v>
      </c>
      <c r="K173" s="1" t="s">
        <v>60</v>
      </c>
      <c r="L173">
        <v>90</v>
      </c>
      <c r="M173">
        <v>9</v>
      </c>
      <c r="N173">
        <v>10</v>
      </c>
      <c r="O173" s="1" t="s">
        <v>48</v>
      </c>
      <c r="P173" s="3">
        <f>covid_data[[#This Row],[Deaths]]/covid_data[[#This Row],[Confirmed]]*100</f>
        <v>0</v>
      </c>
      <c r="Q173" s="2">
        <f>covid_data[[#This Row],[Recovered]]/covid_data[[#This Row],[Confirmed]]</f>
        <v>0.86868686868686873</v>
      </c>
      <c r="R173" s="3">
        <f>covid_data[[#This Row],[Active]]/covid_data[[#This Row],[Confirmed]]*100</f>
        <v>13.131313131313133</v>
      </c>
      <c r="S173" s="5" t="str">
        <f>IF(covid_data[[#This Row],[New deaths]]&gt;5,"High Risk","Low Risk")</f>
        <v>Low Risk</v>
      </c>
      <c r="T173" s="6">
        <f>RANK(B173,covid_data[Confirmed],0)</f>
        <v>172</v>
      </c>
      <c r="U173" s="5" t="str">
        <f>_xlfn.IFS(B173&gt;50000,"Critical",B173&gt;10000,"High",B173&gt;5000,"Moderate",B173&gt;=10,"Low")</f>
        <v>Low</v>
      </c>
    </row>
    <row r="174" spans="1:21" x14ac:dyDescent="0.35">
      <c r="A174" s="1" t="s">
        <v>28</v>
      </c>
      <c r="B174">
        <v>86</v>
      </c>
      <c r="C174">
        <v>3</v>
      </c>
      <c r="D174">
        <v>65</v>
      </c>
      <c r="E174">
        <v>18</v>
      </c>
      <c r="F174">
        <v>4</v>
      </c>
      <c r="G174">
        <v>0</v>
      </c>
      <c r="H174">
        <v>5</v>
      </c>
      <c r="I174">
        <v>3.49</v>
      </c>
      <c r="J174">
        <v>75.58</v>
      </c>
      <c r="K174" s="1" t="s">
        <v>29</v>
      </c>
      <c r="L174">
        <v>76</v>
      </c>
      <c r="M174">
        <v>10</v>
      </c>
      <c r="N174">
        <v>13.16</v>
      </c>
      <c r="O174" s="1" t="s">
        <v>30</v>
      </c>
      <c r="P174" s="3">
        <f>covid_data[[#This Row],[Deaths]]/covid_data[[#This Row],[Confirmed]]*100</f>
        <v>3.4883720930232558</v>
      </c>
      <c r="Q174" s="2">
        <f>covid_data[[#This Row],[Recovered]]/covid_data[[#This Row],[Confirmed]]</f>
        <v>0.7558139534883721</v>
      </c>
      <c r="R174" s="3">
        <f>covid_data[[#This Row],[Active]]/covid_data[[#This Row],[Confirmed]]*100</f>
        <v>20.930232558139537</v>
      </c>
      <c r="S174" s="5" t="str">
        <f>IF(covid_data[[#This Row],[New deaths]]&gt;5,"High Risk","Low Risk")</f>
        <v>Low Risk</v>
      </c>
      <c r="T174" s="6">
        <f>RANK(B174,covid_data[Confirmed],0)</f>
        <v>173</v>
      </c>
      <c r="U174" s="5" t="str">
        <f>_xlfn.IFS(B174&gt;50000,"Critical",B174&gt;10000,"High",B174&gt;5000,"Moderate",B174&gt;=10,"Low")</f>
        <v>Low</v>
      </c>
    </row>
    <row r="175" spans="1:21" x14ac:dyDescent="0.35">
      <c r="A175" s="1" t="s">
        <v>211</v>
      </c>
      <c r="B175">
        <v>86</v>
      </c>
      <c r="C175">
        <v>1</v>
      </c>
      <c r="D175">
        <v>81</v>
      </c>
      <c r="E175">
        <v>4</v>
      </c>
      <c r="F175">
        <v>0</v>
      </c>
      <c r="G175">
        <v>0</v>
      </c>
      <c r="H175">
        <v>0</v>
      </c>
      <c r="I175">
        <v>1.1599999999999999</v>
      </c>
      <c r="J175">
        <v>94.19</v>
      </c>
      <c r="K175" s="1" t="s">
        <v>212</v>
      </c>
      <c r="L175">
        <v>86</v>
      </c>
      <c r="M175">
        <v>0</v>
      </c>
      <c r="N175">
        <v>0</v>
      </c>
      <c r="O175" s="1" t="s">
        <v>20</v>
      </c>
      <c r="P175" s="3">
        <f>covid_data[[#This Row],[Deaths]]/covid_data[[#This Row],[Confirmed]]*100</f>
        <v>1.1627906976744187</v>
      </c>
      <c r="Q175" s="2">
        <f>covid_data[[#This Row],[Recovered]]/covid_data[[#This Row],[Confirmed]]</f>
        <v>0.94186046511627908</v>
      </c>
      <c r="R175" s="3">
        <f>covid_data[[#This Row],[Active]]/covid_data[[#This Row],[Confirmed]]*100</f>
        <v>4.6511627906976747</v>
      </c>
      <c r="S175" s="5" t="str">
        <f>IF(covid_data[[#This Row],[New deaths]]&gt;5,"High Risk","Low Risk")</f>
        <v>Low Risk</v>
      </c>
      <c r="T175" s="6">
        <f>RANK(B175,covid_data[Confirmed],0)</f>
        <v>173</v>
      </c>
      <c r="U175" s="5" t="str">
        <f>_xlfn.IFS(B175&gt;50000,"Critical",B175&gt;10000,"High",B175&gt;5000,"Moderate",B175&gt;=10,"Low")</f>
        <v>Low</v>
      </c>
    </row>
    <row r="176" spans="1:21" x14ac:dyDescent="0.35">
      <c r="A176" s="1" t="s">
        <v>266</v>
      </c>
      <c r="B176">
        <v>62</v>
      </c>
      <c r="C176">
        <v>0</v>
      </c>
      <c r="D176">
        <v>11</v>
      </c>
      <c r="E176">
        <v>51</v>
      </c>
      <c r="F176">
        <v>0</v>
      </c>
      <c r="G176">
        <v>0</v>
      </c>
      <c r="H176">
        <v>0</v>
      </c>
      <c r="I176">
        <v>0</v>
      </c>
      <c r="J176">
        <v>17.739999999999998</v>
      </c>
      <c r="K176" s="1" t="s">
        <v>60</v>
      </c>
      <c r="L176">
        <v>19</v>
      </c>
      <c r="M176">
        <v>43</v>
      </c>
      <c r="N176">
        <v>226.32</v>
      </c>
      <c r="O176" s="1" t="s">
        <v>37</v>
      </c>
      <c r="P176" s="3">
        <f>covid_data[[#This Row],[Deaths]]/covid_data[[#This Row],[Confirmed]]*100</f>
        <v>0</v>
      </c>
      <c r="Q176" s="2">
        <f>covid_data[[#This Row],[Recovered]]/covid_data[[#This Row],[Confirmed]]</f>
        <v>0.17741935483870969</v>
      </c>
      <c r="R176" s="3">
        <f>covid_data[[#This Row],[Active]]/covid_data[[#This Row],[Confirmed]]*100</f>
        <v>82.258064516129039</v>
      </c>
      <c r="S176" s="5" t="str">
        <f>IF(covid_data[[#This Row],[New deaths]]&gt;5,"High Risk","Low Risk")</f>
        <v>Low Risk</v>
      </c>
      <c r="T176" s="6">
        <f>RANK(B176,covid_data[Confirmed],0)</f>
        <v>175</v>
      </c>
      <c r="U176" s="5" t="str">
        <f>_xlfn.IFS(B176&gt;50000,"Critical",B176&gt;10000,"High",B176&gt;5000,"Moderate",B176&gt;=10,"Low")</f>
        <v>Low</v>
      </c>
    </row>
    <row r="177" spans="1:21" x14ac:dyDescent="0.35">
      <c r="A177" s="1" t="s">
        <v>286</v>
      </c>
      <c r="B177">
        <v>52</v>
      </c>
      <c r="C177">
        <v>0</v>
      </c>
      <c r="D177">
        <v>39</v>
      </c>
      <c r="E177">
        <v>13</v>
      </c>
      <c r="F177">
        <v>0</v>
      </c>
      <c r="G177">
        <v>0</v>
      </c>
      <c r="H177">
        <v>0</v>
      </c>
      <c r="I177">
        <v>0</v>
      </c>
      <c r="J177">
        <v>75</v>
      </c>
      <c r="K177" s="1" t="s">
        <v>60</v>
      </c>
      <c r="L177">
        <v>50</v>
      </c>
      <c r="M177">
        <v>2</v>
      </c>
      <c r="N177">
        <v>4</v>
      </c>
      <c r="O177" s="1" t="s">
        <v>30</v>
      </c>
      <c r="P177" s="3">
        <f>covid_data[[#This Row],[Deaths]]/covid_data[[#This Row],[Confirmed]]*100</f>
        <v>0</v>
      </c>
      <c r="Q177" s="2">
        <f>covid_data[[#This Row],[Recovered]]/covid_data[[#This Row],[Confirmed]]</f>
        <v>0.75</v>
      </c>
      <c r="R177" s="3">
        <f>covid_data[[#This Row],[Active]]/covid_data[[#This Row],[Confirmed]]*100</f>
        <v>25</v>
      </c>
      <c r="S177" s="5" t="str">
        <f>IF(covid_data[[#This Row],[New deaths]]&gt;5,"High Risk","Low Risk")</f>
        <v>Low Risk</v>
      </c>
      <c r="T177" s="6">
        <f>RANK(B177,covid_data[Confirmed],0)</f>
        <v>176</v>
      </c>
      <c r="U177" s="5" t="str">
        <f>_xlfn.IFS(B177&gt;50000,"Critical",B177&gt;10000,"High",B177&gt;5000,"Moderate",B177&gt;=10,"Low")</f>
        <v>Low</v>
      </c>
    </row>
    <row r="178" spans="1:21" x14ac:dyDescent="0.35">
      <c r="A178" s="1" t="s">
        <v>55</v>
      </c>
      <c r="B178">
        <v>48</v>
      </c>
      <c r="C178">
        <v>2</v>
      </c>
      <c r="D178">
        <v>26</v>
      </c>
      <c r="E178">
        <v>20</v>
      </c>
      <c r="F178">
        <v>0</v>
      </c>
      <c r="G178">
        <v>0</v>
      </c>
      <c r="H178">
        <v>0</v>
      </c>
      <c r="I178">
        <v>4.17</v>
      </c>
      <c r="J178">
        <v>54.17</v>
      </c>
      <c r="K178" s="1" t="s">
        <v>56</v>
      </c>
      <c r="L178">
        <v>40</v>
      </c>
      <c r="M178">
        <v>8</v>
      </c>
      <c r="N178">
        <v>20</v>
      </c>
      <c r="O178" s="1" t="s">
        <v>30</v>
      </c>
      <c r="P178" s="3">
        <f>covid_data[[#This Row],[Deaths]]/covid_data[[#This Row],[Confirmed]]*100</f>
        <v>4.1666666666666661</v>
      </c>
      <c r="Q178" s="2">
        <f>covid_data[[#This Row],[Recovered]]/covid_data[[#This Row],[Confirmed]]</f>
        <v>0.54166666666666663</v>
      </c>
      <c r="R178" s="3">
        <f>covid_data[[#This Row],[Active]]/covid_data[[#This Row],[Confirmed]]*100</f>
        <v>41.666666666666671</v>
      </c>
      <c r="S178" s="5" t="str">
        <f>IF(covid_data[[#This Row],[New deaths]]&gt;5,"High Risk","Low Risk")</f>
        <v>Low Risk</v>
      </c>
      <c r="T178" s="6">
        <f>RANK(B178,covid_data[Confirmed],0)</f>
        <v>177</v>
      </c>
      <c r="U178" s="5" t="str">
        <f>_xlfn.IFS(B178&gt;50000,"Critical",B178&gt;10000,"High",B178&gt;5000,"Moderate",B178&gt;=10,"Low")</f>
        <v>Low</v>
      </c>
    </row>
    <row r="179" spans="1:21" x14ac:dyDescent="0.35">
      <c r="A179" s="1" t="s">
        <v>134</v>
      </c>
      <c r="B179">
        <v>27</v>
      </c>
      <c r="C179">
        <v>0</v>
      </c>
      <c r="D179">
        <v>18</v>
      </c>
      <c r="E179">
        <v>9</v>
      </c>
      <c r="F179">
        <v>0</v>
      </c>
      <c r="G179">
        <v>0</v>
      </c>
      <c r="H179">
        <v>0</v>
      </c>
      <c r="I179">
        <v>0</v>
      </c>
      <c r="J179">
        <v>66.67</v>
      </c>
      <c r="K179" s="1" t="s">
        <v>60</v>
      </c>
      <c r="L179">
        <v>27</v>
      </c>
      <c r="M179">
        <v>0</v>
      </c>
      <c r="N179">
        <v>0</v>
      </c>
      <c r="O179" s="1" t="s">
        <v>37</v>
      </c>
      <c r="P179" s="3">
        <f>covid_data[[#This Row],[Deaths]]/covid_data[[#This Row],[Confirmed]]*100</f>
        <v>0</v>
      </c>
      <c r="Q179" s="2">
        <f>covid_data[[#This Row],[Recovered]]/covid_data[[#This Row],[Confirmed]]</f>
        <v>0.66666666666666663</v>
      </c>
      <c r="R179" s="3">
        <f>covid_data[[#This Row],[Active]]/covid_data[[#This Row],[Confirmed]]*100</f>
        <v>33.333333333333329</v>
      </c>
      <c r="S179" s="5" t="str">
        <f>IF(covid_data[[#This Row],[New deaths]]&gt;5,"High Risk","Low Risk")</f>
        <v>Low Risk</v>
      </c>
      <c r="T179" s="6">
        <f>RANK(B179,covid_data[Confirmed],0)</f>
        <v>178</v>
      </c>
      <c r="U179" s="5" t="str">
        <f>_xlfn.IFS(B179&gt;50000,"Critical",B179&gt;10000,"High",B179&gt;5000,"Moderate",B179&gt;=10,"Low")</f>
        <v>Low</v>
      </c>
    </row>
    <row r="180" spans="1:21" x14ac:dyDescent="0.35">
      <c r="A180" s="1" t="s">
        <v>285</v>
      </c>
      <c r="B180">
        <v>24</v>
      </c>
      <c r="C180">
        <v>0</v>
      </c>
      <c r="D180">
        <v>22</v>
      </c>
      <c r="E180">
        <v>2</v>
      </c>
      <c r="F180">
        <v>0</v>
      </c>
      <c r="G180">
        <v>0</v>
      </c>
      <c r="H180">
        <v>0</v>
      </c>
      <c r="I180">
        <v>0</v>
      </c>
      <c r="J180">
        <v>91.67</v>
      </c>
      <c r="K180" s="1" t="s">
        <v>60</v>
      </c>
      <c r="L180">
        <v>23</v>
      </c>
      <c r="M180">
        <v>1</v>
      </c>
      <c r="N180">
        <v>4.3499999999999996</v>
      </c>
      <c r="O180" s="1" t="s">
        <v>30</v>
      </c>
      <c r="P180" s="3">
        <f>covid_data[[#This Row],[Deaths]]/covid_data[[#This Row],[Confirmed]]*100</f>
        <v>0</v>
      </c>
      <c r="Q180" s="2">
        <f>covid_data[[#This Row],[Recovered]]/covid_data[[#This Row],[Confirmed]]</f>
        <v>0.91666666666666663</v>
      </c>
      <c r="R180" s="3">
        <f>covid_data[[#This Row],[Active]]/covid_data[[#This Row],[Confirmed]]*100</f>
        <v>8.3333333333333321</v>
      </c>
      <c r="S180" s="5" t="str">
        <f>IF(covid_data[[#This Row],[New deaths]]&gt;5,"High Risk","Low Risk")</f>
        <v>Low Risk</v>
      </c>
      <c r="T180" s="6">
        <f>RANK(B180,covid_data[Confirmed],0)</f>
        <v>179</v>
      </c>
      <c r="U180" s="5" t="str">
        <f>_xlfn.IFS(B180&gt;50000,"Critical",B180&gt;10000,"High",B180&gt;5000,"Moderate",B180&gt;=10,"Low")</f>
        <v>Low</v>
      </c>
    </row>
    <row r="181" spans="1:21" x14ac:dyDescent="0.35">
      <c r="A181" s="1" t="s">
        <v>329</v>
      </c>
      <c r="B181">
        <v>24</v>
      </c>
      <c r="C181">
        <v>0</v>
      </c>
      <c r="D181">
        <v>0</v>
      </c>
      <c r="E181">
        <v>24</v>
      </c>
      <c r="F181">
        <v>0</v>
      </c>
      <c r="G181">
        <v>0</v>
      </c>
      <c r="H181">
        <v>0</v>
      </c>
      <c r="I181">
        <v>0</v>
      </c>
      <c r="J181">
        <v>0</v>
      </c>
      <c r="K181" s="1" t="s">
        <v>60</v>
      </c>
      <c r="L181">
        <v>24</v>
      </c>
      <c r="M181">
        <v>0</v>
      </c>
      <c r="N181">
        <v>0</v>
      </c>
      <c r="O181" s="1" t="s">
        <v>48</v>
      </c>
      <c r="P181" s="3">
        <f>covid_data[[#This Row],[Deaths]]/covid_data[[#This Row],[Confirmed]]*100</f>
        <v>0</v>
      </c>
      <c r="Q181" s="2">
        <f>covid_data[[#This Row],[Recovered]]/covid_data[[#This Row],[Confirmed]]</f>
        <v>0</v>
      </c>
      <c r="R181" s="3">
        <f>covid_data[[#This Row],[Active]]/covid_data[[#This Row],[Confirmed]]*100</f>
        <v>100</v>
      </c>
      <c r="S181" s="5" t="str">
        <f>IF(covid_data[[#This Row],[New deaths]]&gt;5,"High Risk","Low Risk")</f>
        <v>Low Risk</v>
      </c>
      <c r="T181" s="6">
        <f>RANK(B181,covid_data[Confirmed],0)</f>
        <v>179</v>
      </c>
      <c r="U181" s="5" t="str">
        <f>_xlfn.IFS(B181&gt;50000,"Critical",B181&gt;10000,"High",B181&gt;5000,"Moderate",B181&gt;=10,"Low")</f>
        <v>Low</v>
      </c>
    </row>
    <row r="182" spans="1:21" x14ac:dyDescent="0.35">
      <c r="A182" s="1" t="s">
        <v>152</v>
      </c>
      <c r="B182">
        <v>23</v>
      </c>
      <c r="C182">
        <v>0</v>
      </c>
      <c r="D182">
        <v>23</v>
      </c>
      <c r="E182">
        <v>0</v>
      </c>
      <c r="F182">
        <v>0</v>
      </c>
      <c r="G182">
        <v>0</v>
      </c>
      <c r="H182">
        <v>0</v>
      </c>
      <c r="I182">
        <v>0</v>
      </c>
      <c r="J182">
        <v>100</v>
      </c>
      <c r="K182" s="1" t="s">
        <v>60</v>
      </c>
      <c r="L182">
        <v>23</v>
      </c>
      <c r="M182">
        <v>0</v>
      </c>
      <c r="N182">
        <v>0</v>
      </c>
      <c r="O182" s="1" t="s">
        <v>30</v>
      </c>
      <c r="P182" s="3">
        <f>covid_data[[#This Row],[Deaths]]/covid_data[[#This Row],[Confirmed]]*100</f>
        <v>0</v>
      </c>
      <c r="Q182" s="2">
        <f>covid_data[[#This Row],[Recovered]]/covid_data[[#This Row],[Confirmed]]</f>
        <v>1</v>
      </c>
      <c r="R182" s="3">
        <f>covid_data[[#This Row],[Active]]/covid_data[[#This Row],[Confirmed]]*100</f>
        <v>0</v>
      </c>
      <c r="S182" s="5" t="str">
        <f>IF(covid_data[[#This Row],[New deaths]]&gt;5,"High Risk","Low Risk")</f>
        <v>Low Risk</v>
      </c>
      <c r="T182" s="6">
        <f>RANK(B182,covid_data[Confirmed],0)</f>
        <v>181</v>
      </c>
      <c r="U182" s="5" t="str">
        <f>_xlfn.IFS(B182&gt;50000,"Critical",B182&gt;10000,"High",B182&gt;5000,"Moderate",B182&gt;=10,"Low")</f>
        <v>Low</v>
      </c>
    </row>
    <row r="183" spans="1:21" x14ac:dyDescent="0.35">
      <c r="A183" s="1" t="s">
        <v>200</v>
      </c>
      <c r="B183">
        <v>20</v>
      </c>
      <c r="C183">
        <v>0</v>
      </c>
      <c r="D183">
        <v>19</v>
      </c>
      <c r="E183">
        <v>1</v>
      </c>
      <c r="F183">
        <v>0</v>
      </c>
      <c r="G183">
        <v>0</v>
      </c>
      <c r="H183">
        <v>0</v>
      </c>
      <c r="I183">
        <v>0</v>
      </c>
      <c r="J183">
        <v>95</v>
      </c>
      <c r="K183" s="1" t="s">
        <v>60</v>
      </c>
      <c r="L183">
        <v>19</v>
      </c>
      <c r="M183">
        <v>1</v>
      </c>
      <c r="N183">
        <v>5.26</v>
      </c>
      <c r="O183" s="1" t="s">
        <v>37</v>
      </c>
      <c r="P183" s="3">
        <f>covid_data[[#This Row],[Deaths]]/covid_data[[#This Row],[Confirmed]]*100</f>
        <v>0</v>
      </c>
      <c r="Q183" s="2">
        <f>covid_data[[#This Row],[Recovered]]/covid_data[[#This Row],[Confirmed]]</f>
        <v>0.95</v>
      </c>
      <c r="R183" s="3">
        <f>covid_data[[#This Row],[Active]]/covid_data[[#This Row],[Confirmed]]*100</f>
        <v>5</v>
      </c>
      <c r="S183" s="5" t="str">
        <f>IF(covid_data[[#This Row],[New deaths]]&gt;5,"High Risk","Low Risk")</f>
        <v>Low Risk</v>
      </c>
      <c r="T183" s="6">
        <f>RANK(B183,covid_data[Confirmed],0)</f>
        <v>182</v>
      </c>
      <c r="U183" s="5" t="str">
        <f>_xlfn.IFS(B183&gt;50000,"Critical",B183&gt;10000,"High",B183&gt;5000,"Moderate",B183&gt;=10,"Low")</f>
        <v>Low</v>
      </c>
    </row>
    <row r="184" spans="1:21" x14ac:dyDescent="0.35">
      <c r="A184" s="1" t="s">
        <v>118</v>
      </c>
      <c r="B184">
        <v>18</v>
      </c>
      <c r="C184">
        <v>0</v>
      </c>
      <c r="D184">
        <v>18</v>
      </c>
      <c r="E184">
        <v>0</v>
      </c>
      <c r="F184">
        <v>0</v>
      </c>
      <c r="G184">
        <v>0</v>
      </c>
      <c r="H184">
        <v>0</v>
      </c>
      <c r="I184">
        <v>0</v>
      </c>
      <c r="J184">
        <v>100</v>
      </c>
      <c r="K184" s="1" t="s">
        <v>60</v>
      </c>
      <c r="L184">
        <v>18</v>
      </c>
      <c r="M184">
        <v>0</v>
      </c>
      <c r="N184">
        <v>0</v>
      </c>
      <c r="O184" s="1" t="s">
        <v>30</v>
      </c>
      <c r="P184" s="3">
        <f>covid_data[[#This Row],[Deaths]]/covid_data[[#This Row],[Confirmed]]*100</f>
        <v>0</v>
      </c>
      <c r="Q184" s="2">
        <f>covid_data[[#This Row],[Recovered]]/covid_data[[#This Row],[Confirmed]]</f>
        <v>1</v>
      </c>
      <c r="R184" s="3">
        <f>covid_data[[#This Row],[Active]]/covid_data[[#This Row],[Confirmed]]*100</f>
        <v>0</v>
      </c>
      <c r="S184" s="5" t="str">
        <f>IF(covid_data[[#This Row],[New deaths]]&gt;5,"High Risk","Low Risk")</f>
        <v>Low Risk</v>
      </c>
      <c r="T184" s="6">
        <f>RANK(B184,covid_data[Confirmed],0)</f>
        <v>183</v>
      </c>
      <c r="U184" s="5" t="str">
        <f>_xlfn.IFS(B184&gt;50000,"Critical",B184&gt;10000,"High",B184&gt;5000,"Moderate",B184&gt;=10,"Low")</f>
        <v>Low</v>
      </c>
    </row>
    <row r="185" spans="1:21" x14ac:dyDescent="0.35">
      <c r="A185" s="1" t="s">
        <v>284</v>
      </c>
      <c r="B185">
        <v>17</v>
      </c>
      <c r="C185">
        <v>0</v>
      </c>
      <c r="D185">
        <v>15</v>
      </c>
      <c r="E185">
        <v>2</v>
      </c>
      <c r="F185">
        <v>0</v>
      </c>
      <c r="G185">
        <v>0</v>
      </c>
      <c r="H185">
        <v>0</v>
      </c>
      <c r="I185">
        <v>0</v>
      </c>
      <c r="J185">
        <v>88.24</v>
      </c>
      <c r="K185" s="1" t="s">
        <v>60</v>
      </c>
      <c r="L185">
        <v>17</v>
      </c>
      <c r="M185">
        <v>0</v>
      </c>
      <c r="N185">
        <v>0</v>
      </c>
      <c r="O185" s="1" t="s">
        <v>30</v>
      </c>
      <c r="P185" s="3">
        <f>covid_data[[#This Row],[Deaths]]/covid_data[[#This Row],[Confirmed]]*100</f>
        <v>0</v>
      </c>
      <c r="Q185" s="2">
        <f>covid_data[[#This Row],[Recovered]]/covid_data[[#This Row],[Confirmed]]</f>
        <v>0.88235294117647056</v>
      </c>
      <c r="R185" s="3">
        <f>covid_data[[#This Row],[Active]]/covid_data[[#This Row],[Confirmed]]*100</f>
        <v>11.76470588235294</v>
      </c>
      <c r="S185" s="5" t="str">
        <f>IF(covid_data[[#This Row],[New deaths]]&gt;5,"High Risk","Low Risk")</f>
        <v>Low Risk</v>
      </c>
      <c r="T185" s="6">
        <f>RANK(B185,covid_data[Confirmed],0)</f>
        <v>184</v>
      </c>
      <c r="U185" s="5" t="str">
        <f>_xlfn.IFS(B185&gt;50000,"Critical",B185&gt;10000,"High",B185&gt;5000,"Moderate",B185&gt;=10,"Low")</f>
        <v>Low</v>
      </c>
    </row>
    <row r="186" spans="1:21" x14ac:dyDescent="0.35">
      <c r="A186" s="1" t="s">
        <v>151</v>
      </c>
      <c r="B186">
        <v>14</v>
      </c>
      <c r="C186">
        <v>0</v>
      </c>
      <c r="D186">
        <v>13</v>
      </c>
      <c r="E186">
        <v>1</v>
      </c>
      <c r="F186">
        <v>1</v>
      </c>
      <c r="G186">
        <v>0</v>
      </c>
      <c r="H186">
        <v>0</v>
      </c>
      <c r="I186">
        <v>0</v>
      </c>
      <c r="J186">
        <v>92.86</v>
      </c>
      <c r="K186" s="1" t="s">
        <v>60</v>
      </c>
      <c r="L186">
        <v>13</v>
      </c>
      <c r="M186">
        <v>1</v>
      </c>
      <c r="N186">
        <v>7.69</v>
      </c>
      <c r="O186" s="1" t="s">
        <v>20</v>
      </c>
      <c r="P186" s="3">
        <f>covid_data[[#This Row],[Deaths]]/covid_data[[#This Row],[Confirmed]]*100</f>
        <v>0</v>
      </c>
      <c r="Q186" s="2">
        <f>covid_data[[#This Row],[Recovered]]/covid_data[[#This Row],[Confirmed]]</f>
        <v>0.9285714285714286</v>
      </c>
      <c r="R186" s="3">
        <f>covid_data[[#This Row],[Active]]/covid_data[[#This Row],[Confirmed]]*100</f>
        <v>7.1428571428571423</v>
      </c>
      <c r="S186" s="5" t="str">
        <f>IF(covid_data[[#This Row],[New deaths]]&gt;5,"High Risk","Low Risk")</f>
        <v>Low Risk</v>
      </c>
      <c r="T186" s="6">
        <f>RANK(B186,covid_data[Confirmed],0)</f>
        <v>185</v>
      </c>
      <c r="U186" s="5" t="str">
        <f>_xlfn.IFS(B186&gt;50000,"Critical",B186&gt;10000,"High",B186&gt;5000,"Moderate",B186&gt;=10,"Low")</f>
        <v>Low</v>
      </c>
    </row>
    <row r="187" spans="1:21" x14ac:dyDescent="0.35">
      <c r="A187" s="1" t="s">
        <v>163</v>
      </c>
      <c r="B187">
        <v>12</v>
      </c>
      <c r="C187">
        <v>0</v>
      </c>
      <c r="D187">
        <v>12</v>
      </c>
      <c r="E187">
        <v>0</v>
      </c>
      <c r="F187">
        <v>0</v>
      </c>
      <c r="G187">
        <v>0</v>
      </c>
      <c r="H187">
        <v>0</v>
      </c>
      <c r="I187">
        <v>0</v>
      </c>
      <c r="J187">
        <v>100</v>
      </c>
      <c r="K187" s="1" t="s">
        <v>60</v>
      </c>
      <c r="L187">
        <v>12</v>
      </c>
      <c r="M187">
        <v>0</v>
      </c>
      <c r="N187">
        <v>0</v>
      </c>
      <c r="O187" s="1" t="s">
        <v>20</v>
      </c>
      <c r="P187" s="3">
        <f>covid_data[[#This Row],[Deaths]]/covid_data[[#This Row],[Confirmed]]*100</f>
        <v>0</v>
      </c>
      <c r="Q187" s="2">
        <f>covid_data[[#This Row],[Recovered]]/covid_data[[#This Row],[Confirmed]]</f>
        <v>1</v>
      </c>
      <c r="R187" s="3">
        <f>covid_data[[#This Row],[Active]]/covid_data[[#This Row],[Confirmed]]*100</f>
        <v>0</v>
      </c>
      <c r="S187" s="5" t="str">
        <f>IF(covid_data[[#This Row],[New deaths]]&gt;5,"High Risk","Low Risk")</f>
        <v>Low Risk</v>
      </c>
      <c r="T187" s="6">
        <f>RANK(B187,covid_data[Confirmed],0)</f>
        <v>186</v>
      </c>
      <c r="U187" s="5" t="str">
        <f>_xlfn.IFS(B187&gt;50000,"Critical",B187&gt;10000,"High",B187&gt;5000,"Moderate",B187&gt;=10,"Low")</f>
        <v>Low</v>
      </c>
    </row>
    <row r="188" spans="1:21" x14ac:dyDescent="0.35">
      <c r="A188" s="1" t="s">
        <v>355</v>
      </c>
      <c r="B188">
        <v>10</v>
      </c>
      <c r="C188">
        <v>1</v>
      </c>
      <c r="D188">
        <v>8</v>
      </c>
      <c r="E188">
        <v>1</v>
      </c>
      <c r="F188">
        <v>0</v>
      </c>
      <c r="G188">
        <v>0</v>
      </c>
      <c r="H188">
        <v>0</v>
      </c>
      <c r="I188">
        <v>10</v>
      </c>
      <c r="J188">
        <v>80</v>
      </c>
      <c r="K188" s="1" t="s">
        <v>356</v>
      </c>
      <c r="L188">
        <v>10</v>
      </c>
      <c r="M188">
        <v>0</v>
      </c>
      <c r="N188">
        <v>0</v>
      </c>
      <c r="O188" s="1" t="s">
        <v>23</v>
      </c>
      <c r="P188" s="3">
        <f>covid_data[[#This Row],[Deaths]]/covid_data[[#This Row],[Confirmed]]*100</f>
        <v>10</v>
      </c>
      <c r="Q188" s="2">
        <f>covid_data[[#This Row],[Recovered]]/covid_data[[#This Row],[Confirmed]]</f>
        <v>0.8</v>
      </c>
      <c r="R188" s="3">
        <f>covid_data[[#This Row],[Active]]/covid_data[[#This Row],[Confirmed]]*100</f>
        <v>10</v>
      </c>
      <c r="S188" s="5" t="str">
        <f>IF(covid_data[[#This Row],[New deaths]]&gt;5,"High Risk","Low Risk")</f>
        <v>Low Risk</v>
      </c>
      <c r="T188" s="6">
        <f>RANK(B188,covid_data[Confirmed],0)</f>
        <v>187</v>
      </c>
      <c r="U188" s="5" t="str">
        <f>_xlfn.IFS(B188&gt;50000,"Critical",B188&gt;10000,"High",B188&gt;5000,"Moderate",B188&gt;=10,"Low")</f>
        <v>Low</v>
      </c>
    </row>
  </sheetData>
  <conditionalFormatting sqref="P2:P188">
    <cfRule type="cellIs" dxfId="5" priority="4" operator="greaterThan">
      <formula>5</formula>
    </cfRule>
    <cfRule type="cellIs" dxfId="4" priority="5" operator="greaterThan">
      <formula>"5\"</formula>
    </cfRule>
  </conditionalFormatting>
  <conditionalFormatting sqref="B2:B188">
    <cfRule type="dataBar" priority="3">
      <dataBar>
        <cfvo type="min"/>
        <cfvo type="max"/>
        <color rgb="FFFF555A"/>
      </dataBar>
      <extLst>
        <ext xmlns:x14="http://schemas.microsoft.com/office/spreadsheetml/2009/9/main" uri="{B025F937-C7B1-47D3-B67F-A62EFF666E3E}">
          <x14:id>{7A49B5BE-FDD5-4F29-9B4E-3DFF40A46AEC}</x14:id>
        </ext>
      </extLst>
    </cfRule>
  </conditionalFormatting>
  <conditionalFormatting sqref="C2:C188">
    <cfRule type="dataBar" priority="2">
      <dataBar>
        <cfvo type="min"/>
        <cfvo type="max"/>
        <color rgb="FF638EC6"/>
      </dataBar>
      <extLst>
        <ext xmlns:x14="http://schemas.microsoft.com/office/spreadsheetml/2009/9/main" uri="{B025F937-C7B1-47D3-B67F-A62EFF666E3E}">
          <x14:id>{1C16B716-F37C-46C7-BC8B-49145D0B04E1}</x14:id>
        </ext>
      </extLst>
    </cfRule>
  </conditionalFormatting>
  <conditionalFormatting sqref="Q2:Q18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A49B5BE-FDD5-4F29-9B4E-3DFF40A46AEC}">
            <x14:dataBar minLength="0" maxLength="100" border="1" negativeBarBorderColorSameAsPositive="0">
              <x14:cfvo type="autoMin"/>
              <x14:cfvo type="autoMax"/>
              <x14:borderColor rgb="FFFF555A"/>
              <x14:negativeFillColor rgb="FFFF0000"/>
              <x14:negativeBorderColor rgb="FFFF0000"/>
              <x14:axisColor rgb="FF000000"/>
            </x14:dataBar>
          </x14:cfRule>
          <xm:sqref>B2:B188</xm:sqref>
        </x14:conditionalFormatting>
        <x14:conditionalFormatting xmlns:xm="http://schemas.microsoft.com/office/excel/2006/main">
          <x14:cfRule type="dataBar" id="{1C16B716-F37C-46C7-BC8B-49145D0B04E1}">
            <x14:dataBar minLength="0" maxLength="100" border="1" negativeBarBorderColorSameAsPositive="0">
              <x14:cfvo type="autoMin"/>
              <x14:cfvo type="autoMax"/>
              <x14:borderColor rgb="FF638EC6"/>
              <x14:negativeFillColor rgb="FFFF0000"/>
              <x14:negativeBorderColor rgb="FFFF0000"/>
              <x14:axisColor rgb="FF000000"/>
            </x14:dataBar>
          </x14:cfRule>
          <xm:sqref>C2:C188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08D6-C6E6-4E55-B686-D84736E24D67}">
  <dimension ref="A1:B10"/>
  <sheetViews>
    <sheetView showFormulas="1" workbookViewId="0">
      <selection activeCell="C5" sqref="C5"/>
    </sheetView>
  </sheetViews>
  <sheetFormatPr defaultRowHeight="14.5" x14ac:dyDescent="0.35"/>
  <cols>
    <col min="1" max="1" width="32.08984375" bestFit="1" customWidth="1"/>
    <col min="2" max="2" width="43.453125" bestFit="1" customWidth="1"/>
  </cols>
  <sheetData>
    <row r="1" spans="1:2" ht="18.5" x14ac:dyDescent="0.45">
      <c r="A1" s="56" t="s">
        <v>384</v>
      </c>
      <c r="B1" s="57" t="s">
        <v>385</v>
      </c>
    </row>
    <row r="2" spans="1:2" ht="15.5" x14ac:dyDescent="0.35">
      <c r="A2" s="58" t="s">
        <v>386</v>
      </c>
      <c r="B2" s="51">
        <f>COUNTA(covid_data[Country/Region])</f>
        <v>187</v>
      </c>
    </row>
    <row r="3" spans="1:2" ht="15.5" x14ac:dyDescent="0.35">
      <c r="A3" s="58" t="s">
        <v>387</v>
      </c>
      <c r="B3" s="51">
        <f>SUM(covid_data[Confirmed])</f>
        <v>16480485</v>
      </c>
    </row>
    <row r="4" spans="1:2" ht="15.5" x14ac:dyDescent="0.35">
      <c r="A4" s="58" t="s">
        <v>388</v>
      </c>
      <c r="B4" s="51">
        <f>SUM(covid_data[Deaths])</f>
        <v>654036</v>
      </c>
    </row>
    <row r="5" spans="1:2" ht="15.5" x14ac:dyDescent="0.35">
      <c r="A5" s="58" t="s">
        <v>389</v>
      </c>
      <c r="B5" s="52">
        <f>B4/B3</f>
        <v>3.9685482557097078E-2</v>
      </c>
    </row>
    <row r="6" spans="1:2" ht="15.5" x14ac:dyDescent="0.35">
      <c r="A6" s="58" t="s">
        <v>390</v>
      </c>
      <c r="B6" s="51">
        <f>SUMIF(covid_data[WHO Region],"Americas",covid_data[Confirmed])</f>
        <v>8839286</v>
      </c>
    </row>
    <row r="7" spans="1:2" ht="15.5" x14ac:dyDescent="0.35">
      <c r="A7" s="58" t="s">
        <v>391</v>
      </c>
      <c r="B7" s="51">
        <f>SUMIF(covid_data[WHO Region],"Europe",covid_data[Deaths])</f>
        <v>211144</v>
      </c>
    </row>
    <row r="8" spans="1:2" ht="15.5" x14ac:dyDescent="0.35">
      <c r="A8" s="58" t="s">
        <v>392</v>
      </c>
      <c r="B8" s="51" t="str">
        <f>INDEX(covid_data[Country/Region],MATCH(MAX(covid_data[Confirmed]),covid_data[Confirmed],0))</f>
        <v>US</v>
      </c>
    </row>
    <row r="9" spans="1:2" ht="15.5" x14ac:dyDescent="0.35">
      <c r="A9" s="58" t="s">
        <v>393</v>
      </c>
      <c r="B9" s="51" t="str">
        <f>INDEX(covid_data[Country/Region],MATCH(MAX(covid_data[Deaths]),covid_data[Deaths],0))</f>
        <v>US</v>
      </c>
    </row>
    <row r="10" spans="1:2" ht="15.5" x14ac:dyDescent="0.35">
      <c r="A10" s="59" t="s">
        <v>394</v>
      </c>
      <c r="B10" s="53" t="str">
        <f>INDEX(covid_data[WHO Region],MATCH(MAX(covid_data[Confirmed]),covid_data[Confirmed],))</f>
        <v>Americas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487B-73DC-409E-AABB-4CB2DEFBE749}">
  <dimension ref="A1:E24"/>
  <sheetViews>
    <sheetView workbookViewId="0">
      <selection activeCell="L25" sqref="L25"/>
    </sheetView>
  </sheetViews>
  <sheetFormatPr defaultRowHeight="14.5" x14ac:dyDescent="0.35"/>
  <cols>
    <col min="1" max="1" width="14.1796875" bestFit="1" customWidth="1"/>
    <col min="2" max="2" width="22.6328125" customWidth="1"/>
    <col min="4" max="4" width="20.26953125" bestFit="1" customWidth="1"/>
    <col min="5" max="5" width="22.26953125" bestFit="1" customWidth="1"/>
    <col min="7" max="7" width="14.1796875" bestFit="1" customWidth="1"/>
    <col min="8" max="8" width="19.7265625" bestFit="1" customWidth="1"/>
  </cols>
  <sheetData>
    <row r="1" spans="1:5" x14ac:dyDescent="0.35">
      <c r="A1" s="11" t="s">
        <v>371</v>
      </c>
      <c r="B1" s="12"/>
      <c r="D1" s="20" t="s">
        <v>376</v>
      </c>
      <c r="E1" s="21"/>
    </row>
    <row r="2" spans="1:5" x14ac:dyDescent="0.35">
      <c r="A2" s="13"/>
      <c r="B2" s="14"/>
      <c r="D2" s="22"/>
      <c r="E2" s="23"/>
    </row>
    <row r="3" spans="1:5" x14ac:dyDescent="0.35">
      <c r="A3" s="50" t="s">
        <v>373</v>
      </c>
      <c r="B3" s="15" t="s">
        <v>370</v>
      </c>
      <c r="D3" s="18" t="s">
        <v>375</v>
      </c>
      <c r="E3" s="19" t="s">
        <v>374</v>
      </c>
    </row>
    <row r="4" spans="1:5" x14ac:dyDescent="0.35">
      <c r="A4" s="63" t="s">
        <v>336</v>
      </c>
      <c r="B4" s="60">
        <v>4290259</v>
      </c>
      <c r="D4" s="7" t="s">
        <v>53</v>
      </c>
      <c r="E4" s="16">
        <v>14.785933642439936</v>
      </c>
    </row>
    <row r="5" spans="1:5" x14ac:dyDescent="0.35">
      <c r="A5" s="54" t="s">
        <v>67</v>
      </c>
      <c r="B5" s="61">
        <v>2442375</v>
      </c>
      <c r="D5" s="7" t="s">
        <v>137</v>
      </c>
      <c r="E5" s="16">
        <v>13.71079000871333</v>
      </c>
    </row>
    <row r="6" spans="1:5" x14ac:dyDescent="0.35">
      <c r="A6" s="54" t="s">
        <v>170</v>
      </c>
      <c r="B6" s="61">
        <v>1480073</v>
      </c>
      <c r="D6" s="7" t="s">
        <v>166</v>
      </c>
      <c r="E6" s="16">
        <v>13.399280575539569</v>
      </c>
    </row>
    <row r="7" spans="1:5" x14ac:dyDescent="0.35">
      <c r="A7" s="54" t="s">
        <v>280</v>
      </c>
      <c r="B7" s="61">
        <v>816680</v>
      </c>
      <c r="D7" s="7" t="s">
        <v>182</v>
      </c>
      <c r="E7" s="16">
        <v>14.256595990027854</v>
      </c>
    </row>
    <row r="8" spans="1:5" x14ac:dyDescent="0.35">
      <c r="A8" s="54" t="s">
        <v>305</v>
      </c>
      <c r="B8" s="61">
        <v>452529</v>
      </c>
      <c r="D8" s="7" t="s">
        <v>231</v>
      </c>
      <c r="E8" s="16">
        <v>11.131030193001576</v>
      </c>
    </row>
    <row r="9" spans="1:5" x14ac:dyDescent="0.35">
      <c r="A9" s="54" t="s">
        <v>231</v>
      </c>
      <c r="B9" s="61">
        <v>395489</v>
      </c>
      <c r="D9" s="7" t="s">
        <v>247</v>
      </c>
      <c r="E9" s="16">
        <v>11.532772920450078</v>
      </c>
    </row>
    <row r="10" spans="1:5" x14ac:dyDescent="0.35">
      <c r="A10" s="54" t="s">
        <v>269</v>
      </c>
      <c r="B10" s="61">
        <v>389717</v>
      </c>
      <c r="D10" s="7" t="s">
        <v>310</v>
      </c>
      <c r="E10" s="16">
        <v>10.436787178668311</v>
      </c>
    </row>
    <row r="11" spans="1:5" x14ac:dyDescent="0.35">
      <c r="A11" s="54" t="s">
        <v>90</v>
      </c>
      <c r="B11" s="61">
        <v>347923</v>
      </c>
      <c r="D11" s="7" t="s">
        <v>344</v>
      </c>
      <c r="E11" s="16">
        <v>15.194824134593713</v>
      </c>
    </row>
    <row r="12" spans="1:5" x14ac:dyDescent="0.35">
      <c r="A12" s="54" t="s">
        <v>344</v>
      </c>
      <c r="B12" s="61">
        <v>301708</v>
      </c>
      <c r="D12" s="7" t="s">
        <v>355</v>
      </c>
      <c r="E12" s="16">
        <v>10</v>
      </c>
    </row>
    <row r="13" spans="1:5" x14ac:dyDescent="0.35">
      <c r="A13" s="55" t="s">
        <v>174</v>
      </c>
      <c r="B13" s="62">
        <v>293606</v>
      </c>
      <c r="D13" s="8" t="s">
        <v>357</v>
      </c>
      <c r="E13" s="17">
        <v>28.562980484920164</v>
      </c>
    </row>
    <row r="15" spans="1:5" x14ac:dyDescent="0.35">
      <c r="A15" s="11" t="s">
        <v>372</v>
      </c>
      <c r="B15" s="12"/>
      <c r="D15" s="11" t="s">
        <v>377</v>
      </c>
      <c r="E15" s="12"/>
    </row>
    <row r="16" spans="1:5" x14ac:dyDescent="0.35">
      <c r="A16" s="13"/>
      <c r="B16" s="14"/>
      <c r="D16" s="13"/>
      <c r="E16" s="14"/>
    </row>
    <row r="17" spans="1:5" x14ac:dyDescent="0.35">
      <c r="A17" s="18" t="s">
        <v>14</v>
      </c>
      <c r="B17" s="19" t="s">
        <v>370</v>
      </c>
      <c r="D17" s="18" t="s">
        <v>14</v>
      </c>
      <c r="E17" s="19" t="s">
        <v>378</v>
      </c>
    </row>
    <row r="18" spans="1:5" x14ac:dyDescent="0.35">
      <c r="A18" s="7" t="s">
        <v>23</v>
      </c>
      <c r="B18" s="9">
        <v>723207</v>
      </c>
      <c r="D18" s="7" t="s">
        <v>23</v>
      </c>
      <c r="E18" s="16">
        <v>57.014469549237589</v>
      </c>
    </row>
    <row r="19" spans="1:5" x14ac:dyDescent="0.35">
      <c r="A19" s="7" t="s">
        <v>30</v>
      </c>
      <c r="B19" s="9">
        <v>8839286</v>
      </c>
      <c r="D19" s="7" t="s">
        <v>30</v>
      </c>
      <c r="E19" s="16">
        <v>62.291808676089047</v>
      </c>
    </row>
    <row r="20" spans="1:5" x14ac:dyDescent="0.35">
      <c r="A20" s="7" t="s">
        <v>17</v>
      </c>
      <c r="B20" s="9">
        <v>1490744</v>
      </c>
      <c r="D20" s="7" t="s">
        <v>17</v>
      </c>
      <c r="E20" s="16">
        <v>66.592722088131907</v>
      </c>
    </row>
    <row r="21" spans="1:5" x14ac:dyDescent="0.35">
      <c r="A21" s="7" t="s">
        <v>20</v>
      </c>
      <c r="B21" s="9">
        <v>3299523</v>
      </c>
      <c r="D21" s="7" t="s">
        <v>20</v>
      </c>
      <c r="E21" s="16">
        <v>68.634834411354916</v>
      </c>
    </row>
    <row r="22" spans="1:5" x14ac:dyDescent="0.35">
      <c r="A22" s="7" t="s">
        <v>48</v>
      </c>
      <c r="B22" s="9">
        <v>1835297</v>
      </c>
      <c r="D22" s="7" t="s">
        <v>48</v>
      </c>
      <c r="E22" s="16">
        <v>66.703735838783317</v>
      </c>
    </row>
    <row r="23" spans="1:5" x14ac:dyDescent="0.35">
      <c r="A23" s="8" t="s">
        <v>37</v>
      </c>
      <c r="B23" s="9">
        <v>292428</v>
      </c>
      <c r="D23" s="8" t="s">
        <v>37</v>
      </c>
      <c r="E23" s="16">
        <v>76.804197949023518</v>
      </c>
    </row>
    <row r="24" spans="1:5" x14ac:dyDescent="0.35">
      <c r="A24" s="8" t="s">
        <v>369</v>
      </c>
      <c r="B24" s="10">
        <v>16480485</v>
      </c>
      <c r="D24" s="8" t="s">
        <v>369</v>
      </c>
      <c r="E24" s="17">
        <v>64.82033679451078</v>
      </c>
    </row>
  </sheetData>
  <mergeCells count="4">
    <mergeCell ref="A1:B2"/>
    <mergeCell ref="A15:B16"/>
    <mergeCell ref="D1:E2"/>
    <mergeCell ref="D15:E16"/>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EA47-6F4D-4E50-9FBD-0E74C9139826}">
  <dimension ref="A1:N22"/>
  <sheetViews>
    <sheetView showGridLines="0" workbookViewId="0">
      <selection activeCell="E22" sqref="E22"/>
    </sheetView>
  </sheetViews>
  <sheetFormatPr defaultRowHeight="14.5" x14ac:dyDescent="0.35"/>
  <cols>
    <col min="1" max="16384" width="8.7265625" style="25"/>
  </cols>
  <sheetData>
    <row r="1" spans="1:14" ht="23.5" customHeight="1" x14ac:dyDescent="0.35">
      <c r="A1" s="48"/>
      <c r="B1" s="41" t="s">
        <v>379</v>
      </c>
      <c r="C1" s="42"/>
      <c r="D1" s="42"/>
      <c r="E1" s="42"/>
      <c r="F1" s="42"/>
      <c r="G1" s="42"/>
      <c r="H1" s="42"/>
      <c r="I1" s="42"/>
      <c r="J1" s="42"/>
      <c r="K1" s="42"/>
      <c r="L1" s="42"/>
      <c r="M1" s="43"/>
      <c r="N1" s="49"/>
    </row>
    <row r="2" spans="1:14" ht="14.5" customHeight="1" x14ac:dyDescent="0.35">
      <c r="A2" s="47"/>
      <c r="B2" s="44"/>
      <c r="C2" s="45"/>
      <c r="D2" s="45"/>
      <c r="E2" s="45"/>
      <c r="F2" s="45"/>
      <c r="G2" s="45"/>
      <c r="H2" s="45"/>
      <c r="I2" s="45"/>
      <c r="J2" s="45"/>
      <c r="K2" s="45"/>
      <c r="L2" s="45"/>
      <c r="M2" s="46"/>
      <c r="N2" s="49"/>
    </row>
    <row r="3" spans="1:14" ht="15.5" x14ac:dyDescent="0.35">
      <c r="B3" s="38" t="s">
        <v>380</v>
      </c>
      <c r="C3" s="39"/>
      <c r="D3" s="40"/>
      <c r="E3" s="38" t="s">
        <v>381</v>
      </c>
      <c r="F3" s="39"/>
      <c r="G3" s="40"/>
      <c r="H3" s="38" t="s">
        <v>382</v>
      </c>
      <c r="I3" s="39"/>
      <c r="J3" s="40"/>
      <c r="K3" s="38" t="s">
        <v>383</v>
      </c>
      <c r="L3" s="39"/>
      <c r="M3" s="40"/>
    </row>
    <row r="4" spans="1:14" ht="14.5" customHeight="1" x14ac:dyDescent="0.35">
      <c r="B4" s="26">
        <f>SUM('Covid Data'!B2:B188)</f>
        <v>16480485</v>
      </c>
      <c r="C4" s="27"/>
      <c r="D4" s="28"/>
      <c r="E4" s="26">
        <f>SUM(covid_data[Deaths])</f>
        <v>654036</v>
      </c>
      <c r="F4" s="27"/>
      <c r="G4" s="28"/>
      <c r="H4" s="26">
        <f>SUM('Covid Data'!E164:E188)</f>
        <v>735</v>
      </c>
      <c r="I4" s="27"/>
      <c r="J4" s="28"/>
      <c r="K4" s="32">
        <f>AVERAGE('Covid Data'!Q164:Q188)</f>
        <v>0.73833251981569159</v>
      </c>
      <c r="L4" s="33"/>
      <c r="M4" s="34"/>
    </row>
    <row r="5" spans="1:14" ht="14.5" customHeight="1" x14ac:dyDescent="0.35">
      <c r="B5" s="26"/>
      <c r="C5" s="27"/>
      <c r="D5" s="28"/>
      <c r="E5" s="26"/>
      <c r="F5" s="27"/>
      <c r="G5" s="28"/>
      <c r="H5" s="26"/>
      <c r="I5" s="27"/>
      <c r="J5" s="28"/>
      <c r="K5" s="32"/>
      <c r="L5" s="33"/>
      <c r="M5" s="34"/>
    </row>
    <row r="6" spans="1:14" ht="14.5" customHeight="1" x14ac:dyDescent="0.35">
      <c r="B6" s="26"/>
      <c r="C6" s="27"/>
      <c r="D6" s="28"/>
      <c r="E6" s="26"/>
      <c r="F6" s="27"/>
      <c r="G6" s="28"/>
      <c r="H6" s="26"/>
      <c r="I6" s="27"/>
      <c r="J6" s="28"/>
      <c r="K6" s="32"/>
      <c r="L6" s="33"/>
      <c r="M6" s="34"/>
    </row>
    <row r="7" spans="1:14" ht="14.5" customHeight="1" x14ac:dyDescent="0.35">
      <c r="B7" s="29"/>
      <c r="C7" s="30"/>
      <c r="D7" s="31"/>
      <c r="E7" s="29"/>
      <c r="F7" s="30"/>
      <c r="G7" s="31"/>
      <c r="H7" s="29"/>
      <c r="I7" s="30"/>
      <c r="J7" s="31"/>
      <c r="K7" s="35"/>
      <c r="L7" s="36"/>
      <c r="M7" s="37"/>
    </row>
    <row r="22" spans="3:3" x14ac:dyDescent="0.35">
      <c r="C22" s="24"/>
    </row>
  </sheetData>
  <mergeCells count="9">
    <mergeCell ref="B1:M2"/>
    <mergeCell ref="B4:D7"/>
    <mergeCell ref="B3:D3"/>
    <mergeCell ref="E3:G3"/>
    <mergeCell ref="E4:G7"/>
    <mergeCell ref="H3:J3"/>
    <mergeCell ref="H4:J7"/>
    <mergeCell ref="K3:M3"/>
    <mergeCell ref="K4:M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39AADD-9AA8-4B3C-A894-81D7B74D95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Covid Data</vt:lpstr>
      <vt:lpstr>Calculations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 Gupta</dc:creator>
  <cp:lastModifiedBy>Aashi Gupta</cp:lastModifiedBy>
  <dcterms:created xsi:type="dcterms:W3CDTF">2026-05-28T11:00:46Z</dcterms:created>
  <dcterms:modified xsi:type="dcterms:W3CDTF">2026-05-28T14:34:50Z</dcterms:modified>
</cp:coreProperties>
</file>